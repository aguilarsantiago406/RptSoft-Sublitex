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" sheetId="1" r:id="rId5"/>
    <sheet state="visible" name="CATALOGOS" sheetId="2" r:id="rId6"/>
    <sheet state="visible" name="PEDIDO" sheetId="3" r:id="rId7"/>
    <sheet state="visible" name="PRENDAS" sheetId="4" r:id="rId8"/>
    <sheet state="visible" name="PROFORMA" sheetId="5" r:id="rId9"/>
    <sheet state="visible" name="DETALLE" sheetId="6" r:id="rId10"/>
    <sheet state="visible" name="FICHA_DISENO" sheetId="7" r:id="rId11"/>
    <sheet state="visible" name="MEDIDAS" sheetId="8" r:id="rId12"/>
  </sheets>
  <definedNames/>
  <calcPr/>
</workbook>
</file>

<file path=xl/sharedStrings.xml><?xml version="1.0" encoding="utf-8"?>
<sst xmlns="http://schemas.openxmlformats.org/spreadsheetml/2006/main" count="864" uniqueCount="401">
  <si>
    <t>CATÁLOGOS — solo los modifica el administrador</t>
  </si>
  <si>
    <t>CÓMO SE USA ESTA HOJA</t>
  </si>
  <si>
    <t>PRENDAS — una fila por prenda física. Todos los resúmenes salen de aquí.</t>
  </si>
  <si>
    <t>DATOS DEL PEDIDO — esta es la hoja que llena la vendedora</t>
  </si>
  <si>
    <t>Todos los precios y recargos de la hoja salen de aquí. La vendedora nunca escribe un precio a mano.</t>
  </si>
  <si>
    <t>Regla única</t>
  </si>
  <si>
    <t>◀ La fila 3 es un ejemplo. Escribe encima.</t>
  </si>
  <si>
    <t>Las celdas amarillas se escriben. Todo lo demás se calcula solo. Las listas desplegables salen de CATÁLOGOS.</t>
  </si>
  <si>
    <t>Las celdas amarillas se escriben a mano. Todo lo demás se calcula solo. Ningún precio, ningún total y ningún conteo se escribe nunca a mano.</t>
  </si>
  <si>
    <t>PRODUCTOS Y SUS COMPONENTES FÍSICOS</t>
  </si>
  <si>
    <t>#</t>
  </si>
  <si>
    <t>1 · PEDIDO</t>
  </si>
  <si>
    <t>Llena la cabecera, el diseño, los colores con su código HEX y las ubicaciones con el texto exacto que va impreso. Abajo hay un panel de revisión que te avisa qué falta.</t>
  </si>
  <si>
    <t>2 · PRENDAS</t>
  </si>
  <si>
    <t>Nombre en prenda</t>
  </si>
  <si>
    <t>Una fila por prenda física. La fila 3 es un ejemplo: escribe encima. La última columna te dice qué le falta a cada fila.</t>
  </si>
  <si>
    <t>Nombre de la persona</t>
  </si>
  <si>
    <t>Producto</t>
  </si>
  <si>
    <t>3 · PROFORMA</t>
  </si>
  <si>
    <t>Se llena sola. Inserta el mockup en el recuadro y registra el adelanto recibido. Es la página 1 del PDF.</t>
  </si>
  <si>
    <t>Talla</t>
  </si>
  <si>
    <t>Número</t>
  </si>
  <si>
    <t>1 · IDENTIFICACIÓN</t>
  </si>
  <si>
    <t>4 · DETALLE</t>
  </si>
  <si>
    <t>Color</t>
  </si>
  <si>
    <t>Se llena solo. Es la página 2 del PDF, la que el cliente revisa y confirma.</t>
  </si>
  <si>
    <t>Precio base</t>
  </si>
  <si>
    <t>Género</t>
  </si>
  <si>
    <t>Camisetas</t>
  </si>
  <si>
    <t>5 · FICHA_DISENO</t>
  </si>
  <si>
    <t>Corte</t>
  </si>
  <si>
    <t>Shorts</t>
  </si>
  <si>
    <t>Se llena sola. Es lo que recibe el diseñador. No tiene ni un solo precio.</t>
  </si>
  <si>
    <t>Medias</t>
  </si>
  <si>
    <t>Cuello</t>
  </si>
  <si>
    <t>Nota</t>
  </si>
  <si>
    <t>Tela</t>
  </si>
  <si>
    <t>6 · MEDIDAS</t>
  </si>
  <si>
    <t>La llena el diseñador después del nesting. De ahí sale el costo de impresión y el nombre de los archivos TIF.</t>
  </si>
  <si>
    <t>Escudo</t>
  </si>
  <si>
    <t>Camiseta sola</t>
  </si>
  <si>
    <t>Acabado escudo</t>
  </si>
  <si>
    <t>7 · CATALOGOS</t>
  </si>
  <si>
    <t>Arquero</t>
  </si>
  <si>
    <t>Precios, recargos y parámetros. Solo lo toca el administrador.</t>
  </si>
  <si>
    <t>N° de pedido</t>
  </si>
  <si>
    <t>Tipo</t>
  </si>
  <si>
    <t>Personalización especial</t>
  </si>
  <si>
    <t>SUB-000842</t>
  </si>
  <si>
    <t>Para generar el PDF</t>
  </si>
  <si>
    <t>Rec. talla</t>
  </si>
  <si>
    <t>Selecciona las pestañas PROFORMA y DETALLE juntas y exporta a PDF. Para el diseñador, exporta FICHA_DISENO.</t>
  </si>
  <si>
    <t>Matriz §3.1 — S/25 tallas S, M, L</t>
  </si>
  <si>
    <t>Rec. tela</t>
  </si>
  <si>
    <t>Rec. cuello</t>
  </si>
  <si>
    <t>Rec. acabado</t>
  </si>
  <si>
    <t>PRECIO UNIT.</t>
  </si>
  <si>
    <t>Camiseta + short</t>
  </si>
  <si>
    <t>Pendiente</t>
  </si>
  <si>
    <t>El RUC 20544457846 fue dictado por voz: verifícalo antes de usarlo con clientes. Los costos internos de tela y confección están en cero en CATÁLOGOS hasta que los completes.</t>
  </si>
  <si>
    <t>Matriz §3.1 — no incluye medias</t>
  </si>
  <si>
    <t>Kit completo</t>
  </si>
  <si>
    <t>Qué falta</t>
  </si>
  <si>
    <t>Matriz §3.1 — camiseta + short + medias</t>
  </si>
  <si>
    <t>Camiseta arquero</t>
  </si>
  <si>
    <t>LEYENDA DE COLORES</t>
  </si>
  <si>
    <t>Matriz §3.1 — desde S/60 el conjunto; verificar</t>
  </si>
  <si>
    <t>Conjunto arquero</t>
  </si>
  <si>
    <t>Fecha</t>
  </si>
  <si>
    <t>2026-08-07</t>
  </si>
  <si>
    <t>Matriz §3.1 — desde S/60</t>
  </si>
  <si>
    <t>Short solo</t>
  </si>
  <si>
    <t>Valor de la tarifa estándar del kit</t>
  </si>
  <si>
    <t>Amarillo</t>
  </si>
  <si>
    <t>Versión de la hoja</t>
  </si>
  <si>
    <t>Falda deportiva</t>
  </si>
  <si>
    <t>Matriz §1 — tallas 6 a 16</t>
  </si>
  <si>
    <t>Celda que se escribe a mano</t>
  </si>
  <si>
    <t>Banderola</t>
  </si>
  <si>
    <t>Precio observado en pedido real (CLINT)</t>
  </si>
  <si>
    <t>Fecha de esta versión</t>
  </si>
  <si>
    <t>Sin fondo</t>
  </si>
  <si>
    <t>Celda calculada — no la toques</t>
  </si>
  <si>
    <t>TALLAS Y RECARGOS</t>
  </si>
  <si>
    <t>Cliente / Grupo</t>
  </si>
  <si>
    <t>PROMO 2002</t>
  </si>
  <si>
    <t>Verde oscuro</t>
  </si>
  <si>
    <t>RUC o DNI</t>
  </si>
  <si>
    <t>Encabezado de sección</t>
  </si>
  <si>
    <t>Recargo</t>
  </si>
  <si>
    <t>6</t>
  </si>
  <si>
    <t>Coordinador del cliente</t>
  </si>
  <si>
    <t>Infantil</t>
  </si>
  <si>
    <t>Coordinador de la promoción</t>
  </si>
  <si>
    <t>8</t>
  </si>
  <si>
    <t>10</t>
  </si>
  <si>
    <t>Teléfono</t>
  </si>
  <si>
    <t>+51 966 826 524</t>
  </si>
  <si>
    <t>12</t>
  </si>
  <si>
    <t>14</t>
  </si>
  <si>
    <t>ANMIX BRENIS</t>
  </si>
  <si>
    <t>Vendedora</t>
  </si>
  <si>
    <t>16</t>
  </si>
  <si>
    <t>Luis Chapoñán Vera</t>
  </si>
  <si>
    <t>S</t>
  </si>
  <si>
    <t>Fecha de entrega</t>
  </si>
  <si>
    <t>Adulto</t>
  </si>
  <si>
    <t>2026-08-18</t>
  </si>
  <si>
    <t>M</t>
  </si>
  <si>
    <t>L</t>
  </si>
  <si>
    <t>Modalidad de entrega</t>
  </si>
  <si>
    <t>XL</t>
  </si>
  <si>
    <t>Matriz §3.2 — XL +3, XXL +6, XXXL +10</t>
  </si>
  <si>
    <t>XXL</t>
  </si>
  <si>
    <t>XXXL</t>
  </si>
  <si>
    <t>TELAS Y RECARGOS</t>
  </si>
  <si>
    <t>Dry Fit</t>
  </si>
  <si>
    <t>Base — matriz §3.3</t>
  </si>
  <si>
    <t>Win Fresh</t>
  </si>
  <si>
    <t>Marathon</t>
  </si>
  <si>
    <t>+S/5 por camiseta</t>
  </si>
  <si>
    <t>Puma</t>
  </si>
  <si>
    <t>Palmeira</t>
  </si>
  <si>
    <t>Hexagonal</t>
  </si>
  <si>
    <t>+S/5 por conjunto</t>
  </si>
  <si>
    <t>Agencia a provincia</t>
  </si>
  <si>
    <t>Labrada</t>
  </si>
  <si>
    <t>+S/10 por prenda</t>
  </si>
  <si>
    <t>Nova sin forro</t>
  </si>
  <si>
    <t>Tela de short</t>
  </si>
  <si>
    <t>Ciudad</t>
  </si>
  <si>
    <t>Chiclayo</t>
  </si>
  <si>
    <t>7</t>
  </si>
  <si>
    <t>CUELLOS Y RECARGOS</t>
  </si>
  <si>
    <t>2 · DISEÑO APROBADO</t>
  </si>
  <si>
    <t>Blanco hueso</t>
  </si>
  <si>
    <t>Redondo</t>
  </si>
  <si>
    <t>Incluido</t>
  </si>
  <si>
    <t>Redondo cruzado</t>
  </si>
  <si>
    <t>V</t>
  </si>
  <si>
    <t>Hombre</t>
  </si>
  <si>
    <t>V cruzado</t>
  </si>
  <si>
    <t>Versión del mockup</t>
  </si>
  <si>
    <t>v4</t>
  </si>
  <si>
    <t>Camisero</t>
  </si>
  <si>
    <t>Matriz §4 — +S/10 por camiseta</t>
  </si>
  <si>
    <t>Recto</t>
  </si>
  <si>
    <t>Fecha de aprobación</t>
  </si>
  <si>
    <t>ACABADOS Y RECARGOS</t>
  </si>
  <si>
    <t>Aprobado por</t>
  </si>
  <si>
    <t>Acabado</t>
  </si>
  <si>
    <t>Sublimado</t>
  </si>
  <si>
    <t>Archivo del mockup</t>
  </si>
  <si>
    <t>Aprobado por WhatsApp</t>
  </si>
  <si>
    <t>Incluido en el proceso</t>
  </si>
  <si>
    <t>Ninguno</t>
  </si>
  <si>
    <t>Termosellado</t>
  </si>
  <si>
    <t>Tela principal</t>
  </si>
  <si>
    <t>Matriz §4 — +S/5</t>
  </si>
  <si>
    <t>Bordado</t>
  </si>
  <si>
    <t>Sí</t>
  </si>
  <si>
    <t>DTF</t>
  </si>
  <si>
    <t>Vinil</t>
  </si>
  <si>
    <t>Parche</t>
  </si>
  <si>
    <t>Manga</t>
  </si>
  <si>
    <t>LISTAS DESPLEGABLES</t>
  </si>
  <si>
    <t>No</t>
  </si>
  <si>
    <t>Tipo de prenda</t>
  </si>
  <si>
    <t>Corta</t>
  </si>
  <si>
    <t>Sí / No</t>
  </si>
  <si>
    <t>Venta</t>
  </si>
  <si>
    <t>Nombre de esposa en cuello delantero</t>
  </si>
  <si>
    <t>Cuello — hombres</t>
  </si>
  <si>
    <t>Recojo Surquillo</t>
  </si>
  <si>
    <t>Mujer</t>
  </si>
  <si>
    <t>Entallado</t>
  </si>
  <si>
    <t>Obsequio</t>
  </si>
  <si>
    <t>Larga</t>
  </si>
  <si>
    <t>Recojo Gamarra</t>
  </si>
  <si>
    <t>Niño</t>
  </si>
  <si>
    <t>Princesa</t>
  </si>
  <si>
    <t>Muestra</t>
  </si>
  <si>
    <t>Motorizado Lima</t>
  </si>
  <si>
    <t>Cuello — damas</t>
  </si>
  <si>
    <t>Niña</t>
  </si>
  <si>
    <t>Sin especificar</t>
  </si>
  <si>
    <t>Corte — hombres</t>
  </si>
  <si>
    <t>PARÁMETROS COMERCIALES</t>
  </si>
  <si>
    <t>Corte — damas</t>
  </si>
  <si>
    <t>IGV</t>
  </si>
  <si>
    <t>Rib en cuello</t>
  </si>
  <si>
    <t>Matriz §13 — 18%, no incluido en los precios</t>
  </si>
  <si>
    <t>Adelanto estándar</t>
  </si>
  <si>
    <t>Matriz §6 — 50% sin IGV</t>
  </si>
  <si>
    <t>Adelanto excepcional</t>
  </si>
  <si>
    <t>Rib en mangas</t>
  </si>
  <si>
    <t>Matriz §6 — 40%, requiere autorización</t>
  </si>
  <si>
    <t>Pedido mínimo (unidades)</t>
  </si>
  <si>
    <t>Acabado de escudos</t>
  </si>
  <si>
    <t>Matriz §2</t>
  </si>
  <si>
    <t>Ancho de impresión (m)</t>
  </si>
  <si>
    <t>Short — tela</t>
  </si>
  <si>
    <t>Dato de taller — ancho fijo</t>
  </si>
  <si>
    <t>Costo impresión por metro lineal</t>
  </si>
  <si>
    <t>Incluye impresión, calandra y corte láser</t>
  </si>
  <si>
    <t>Validez de la proforma (días)</t>
  </si>
  <si>
    <t>Ajustable</t>
  </si>
  <si>
    <t>3 · COLORES — nunca solo la palabra, siempre el código</t>
  </si>
  <si>
    <t>COSTOS INTERNOS — PENDIENTES DE COMPLETAR</t>
  </si>
  <si>
    <t>Nombre del color</t>
  </si>
  <si>
    <t>Estos valores no estaban en la matriz maestra. Complétalos para que la hoja calcule utilidad.</t>
  </si>
  <si>
    <t>Código HEX</t>
  </si>
  <si>
    <t>Referencia física / Pantone</t>
  </si>
  <si>
    <t>Concepto</t>
  </si>
  <si>
    <t>Costo</t>
  </si>
  <si>
    <t>Unidad</t>
  </si>
  <si>
    <t>#F7F4F2</t>
  </si>
  <si>
    <t>PENDIENTE — el pedido real nunca tuvo código</t>
  </si>
  <si>
    <t>por metro lineal</t>
  </si>
  <si>
    <t>Azul</t>
  </si>
  <si>
    <t>#2B4E7A</t>
  </si>
  <si>
    <t>Tres de nueve pedidos reales fallaron por color acordado solo con una palabra. El único que no falló llevaba el código HEX.</t>
  </si>
  <si>
    <t>Confección camiseta</t>
  </si>
  <si>
    <t>por prenda</t>
  </si>
  <si>
    <t>Pendiente — tarifa de costurero</t>
  </si>
  <si>
    <t>Confección short</t>
  </si>
  <si>
    <t>4 · UBICACIONES Y TEXTO LITERAL — se copia y pega, nunca se vuelve a escribir</t>
  </si>
  <si>
    <t>Ubicación</t>
  </si>
  <si>
    <t>¿Lleva?</t>
  </si>
  <si>
    <t>Contenido exacto que va impreso</t>
  </si>
  <si>
    <t>Pecho / delantero</t>
  </si>
  <si>
    <t>Texto "PROMO 2002", insignia del colegio bordada y sponsors correspondientes</t>
  </si>
  <si>
    <t>Espalda</t>
  </si>
  <si>
    <t>Nombre, número y sponsor</t>
  </si>
  <si>
    <t>Cuello delantero</t>
  </si>
  <si>
    <t>Cuello posterior</t>
  </si>
  <si>
    <t>Manga izquierda</t>
  </si>
  <si>
    <t>Copa y texto "COPA 2026"</t>
  </si>
  <si>
    <t>Manga derecha</t>
  </si>
  <si>
    <t>Insignia del campeonato</t>
  </si>
  <si>
    <t>Short delantero</t>
  </si>
  <si>
    <t>Insignia del colegio lado derecho, número lado izquierdo</t>
  </si>
  <si>
    <t>Short posterior</t>
  </si>
  <si>
    <t>Sponsors correspondientes</t>
  </si>
  <si>
    <t>Sponsor 1 — texto y teléfono</t>
  </si>
  <si>
    <t>SIN DEFINIR — la confirmación real nunca dijo qué sponsor ni su teléfono</t>
  </si>
  <si>
    <t>Sponsor 2 — texto y teléfono</t>
  </si>
  <si>
    <t>J. HUANCAS</t>
  </si>
  <si>
    <t>El teléfono de un auspiciador salió mal impreso porque nunca estuvo escrito en la confirmación. Todo lo que se imprime va aquí, literal.</t>
  </si>
  <si>
    <t>5 · ENVÍO A PROVINCIA — los siete datos de rotulado</t>
  </si>
  <si>
    <t>Nombre completo</t>
  </si>
  <si>
    <t>DNI</t>
  </si>
  <si>
    <t>Celular</t>
  </si>
  <si>
    <t>Ciudad o destino</t>
  </si>
  <si>
    <t>Agencia</t>
  </si>
  <si>
    <t>Referencia de la agencia</t>
  </si>
  <si>
    <t>Correo electrónico</t>
  </si>
  <si>
    <t>6 · CONTROL DE CAMBIOS</t>
  </si>
  <si>
    <t>Qué cambió</t>
  </si>
  <si>
    <t>Quién lo pidió</t>
  </si>
  <si>
    <t>Versión</t>
  </si>
  <si>
    <t>Un pedido real perdió una camiseta agregada al final porque la hoja no se actualizó. Cada cambio, una línea.</t>
  </si>
  <si>
    <t>7 · REVISIÓN ANTES DE ENVIAR</t>
  </si>
  <si>
    <t>Prendas registradas</t>
  </si>
  <si>
    <t>BANCES</t>
  </si>
  <si>
    <t>17</t>
  </si>
  <si>
    <t>Prendas de venta</t>
  </si>
  <si>
    <t>Sin nombre en prenda</t>
  </si>
  <si>
    <t>Sin talla</t>
  </si>
  <si>
    <t>Sin número</t>
  </si>
  <si>
    <t>Sin género</t>
  </si>
  <si>
    <t>Sin corte</t>
  </si>
  <si>
    <t>Colores sin código HEX</t>
  </si>
  <si>
    <t>Ubicaciones marcadas sin contenido</t>
  </si>
  <si>
    <t>Pedido mínimo</t>
  </si>
  <si>
    <t>Mockup aprobado</t>
  </si>
  <si>
    <t>VENTURA</t>
  </si>
  <si>
    <t>9</t>
  </si>
  <si>
    <t>JHEINER</t>
  </si>
  <si>
    <t>JUAN R.</t>
  </si>
  <si>
    <t>JUAN R. nombre principal; KALESSI en cuello delantero; JOHNATAN manga izquierda; DIEGO manga derecha</t>
  </si>
  <si>
    <t>JORGE C.</t>
  </si>
  <si>
    <t>C. ACOSTA</t>
  </si>
  <si>
    <t>LADINES</t>
  </si>
  <si>
    <t>3</t>
  </si>
  <si>
    <t>GUSTAVO R.</t>
  </si>
  <si>
    <t>11</t>
  </si>
  <si>
    <t>CALDERON</t>
  </si>
  <si>
    <t>[ LOGO SUBLITEX ]</t>
  </si>
  <si>
    <t>GRAN CARTEL S.A.C.</t>
  </si>
  <si>
    <t>RUC 20544457846</t>
  </si>
  <si>
    <t>◀ VERIFICAR RUC</t>
  </si>
  <si>
    <t>Av. Aramburú cuadra 7 — Surquillo, Lima</t>
  </si>
  <si>
    <t>WhatsApp 944 941 179</t>
  </si>
  <si>
    <t>Sublimación digital de prendas deportivas</t>
  </si>
  <si>
    <t>PROFORMA DE PEDIDO</t>
  </si>
  <si>
    <t>ALAN F.</t>
  </si>
  <si>
    <t>Cliente</t>
  </si>
  <si>
    <t>RUC / DNI</t>
  </si>
  <si>
    <t>Coordinador</t>
  </si>
  <si>
    <t>Entrega</t>
  </si>
  <si>
    <t>DISEÑO APROBADO</t>
  </si>
  <si>
    <t>INSERTAR AQUÍ LA IMAGEN DEL MOCKUP
(Insertar › Imagen, y ajustarla dentro de este recuadro)</t>
  </si>
  <si>
    <t>ALAN R.</t>
  </si>
  <si>
    <t>Aprobado el</t>
  </si>
  <si>
    <t>DETALLE DE LA COTIZACIÓN</t>
  </si>
  <si>
    <t>DETALLE DEL PEDIDO — página 2 · el cliente revisa y confirma</t>
  </si>
  <si>
    <t>Descripción</t>
  </si>
  <si>
    <t>Detalle</t>
  </si>
  <si>
    <t>Cantidad</t>
  </si>
  <si>
    <t>P. unit.</t>
  </si>
  <si>
    <t>Subtotal</t>
  </si>
  <si>
    <t>RESÚMENES CALCULADOS</t>
  </si>
  <si>
    <t>Por componente físico</t>
  </si>
  <si>
    <t>FLORES</t>
  </si>
  <si>
    <t>30</t>
  </si>
  <si>
    <t>Total de prendas</t>
  </si>
  <si>
    <t>De venta</t>
  </si>
  <si>
    <t>Obsequio/muestra</t>
  </si>
  <si>
    <t>POR TALLA</t>
  </si>
  <si>
    <t>POR CORTE</t>
  </si>
  <si>
    <t>POR GÉNERO</t>
  </si>
  <si>
    <t>CLINT</t>
  </si>
  <si>
    <t>69</t>
  </si>
  <si>
    <t>Nombres de los hijos en las mangas; nombre de la esposa en el cuello delantero</t>
  </si>
  <si>
    <t>HA.LI</t>
  </si>
  <si>
    <t>119</t>
  </si>
  <si>
    <t>LISTA COMPLETA DE PRENDAS</t>
  </si>
  <si>
    <t>N°</t>
  </si>
  <si>
    <t>Personalización</t>
  </si>
  <si>
    <t>THEO</t>
  </si>
  <si>
    <t>Recargo por tallas especiales</t>
  </si>
  <si>
    <t>Recargo por tela</t>
  </si>
  <si>
    <t>Recargo por cuello</t>
  </si>
  <si>
    <t>Recargo por acabados</t>
  </si>
  <si>
    <t>Prendas de obsequio o muestra (sin costo)</t>
  </si>
  <si>
    <t>TOTAL SIN IGV</t>
  </si>
  <si>
    <t>Los precios no incluyen IGV (18%)</t>
  </si>
  <si>
    <t>PAGOS</t>
  </si>
  <si>
    <t>Adelanto sugerido (50%)</t>
  </si>
  <si>
    <t>THIAGO R.</t>
  </si>
  <si>
    <t>Adelanto recibido</t>
  </si>
  <si>
    <t>Saldo pendiente</t>
  </si>
  <si>
    <t>CONDICIONES</t>
  </si>
  <si>
    <t>•  Los precios no incluyen IGV. El 18% se calcula solo si se solicita boleta o factura.</t>
  </si>
  <si>
    <t>•  El plazo de producción es de 4 a 7 días hábiles y empieza cuando están el diseño aprobado, el adelanto confirmado y la información del pedido cerrada.</t>
  </si>
  <si>
    <t>•  No se despacha ningún pedido con saldo pendiente.</t>
  </si>
  <si>
    <t>•  Los colores se aproximan al código acordado; la tela y la iluminación pueden variar la percepción del tono.</t>
  </si>
  <si>
    <t>•  Cualquier cambio después de aprobar el diseño requiere confirmación y puede modificar el plazo.</t>
  </si>
  <si>
    <t>DATOS PARA EL PAGO</t>
  </si>
  <si>
    <t>Plin / transferencia</t>
  </si>
  <si>
    <t>Wilber Peralta Flores — 944941179</t>
  </si>
  <si>
    <t>Scotiabank — cuenta</t>
  </si>
  <si>
    <t>GRAN CARTEL S.A.C. — 0448814517</t>
  </si>
  <si>
    <t>Scotiabank — CCI</t>
  </si>
  <si>
    <t>00923020044881451748</t>
  </si>
  <si>
    <t>Conformidad del cliente:</t>
  </si>
  <si>
    <t>_________________________________</t>
  </si>
  <si>
    <t>Nombre, DNI y fecha</t>
  </si>
  <si>
    <t>AMPARO</t>
  </si>
  <si>
    <t>4</t>
  </si>
  <si>
    <t>TOGUE</t>
  </si>
  <si>
    <t>MIRTHA</t>
  </si>
  <si>
    <t>23</t>
  </si>
  <si>
    <t>ANA LI</t>
  </si>
  <si>
    <t>LOCONI</t>
  </si>
  <si>
    <t>98</t>
  </si>
  <si>
    <t>HADA</t>
  </si>
  <si>
    <t>PATRICIA A.</t>
  </si>
  <si>
    <t>CYNTHIA</t>
  </si>
  <si>
    <t>25</t>
  </si>
  <si>
    <t>TAPIA</t>
  </si>
  <si>
    <t>FICHA PARA DISEÑO Y PRODUCCIÓN — sin información de precios</t>
  </si>
  <si>
    <t>ESPECIFICACIÓN TÉCNICA</t>
  </si>
  <si>
    <t>Cuello hombres</t>
  </si>
  <si>
    <t>Cuello damas</t>
  </si>
  <si>
    <t>Corte hombres</t>
  </si>
  <si>
    <t>Corte damas</t>
  </si>
  <si>
    <t>Tela del short</t>
  </si>
  <si>
    <t>COLORES — usar el código, no el nombre</t>
  </si>
  <si>
    <t>UBICACIONES Y TEXTO LITERAL — copiar, no volver a escribir</t>
  </si>
  <si>
    <t>CANTIDADES PARA PRODUCCIÓN</t>
  </si>
  <si>
    <t>Un pedido real se despachó sin las medias porque el resumen no tenía esta línea.</t>
  </si>
  <si>
    <t>LISTA DE PRENDAS</t>
  </si>
  <si>
    <t>MEDIDAS DE NESTING — la llena el diseñador después de organizar las piezas</t>
  </si>
  <si>
    <t>Un nesting puede mezclar piezas de varios pedidos. Si es así, indica a qué pedido corresponde cada parte.</t>
  </si>
  <si>
    <t>Parte</t>
  </si>
  <si>
    <t>Ancho (cm)</t>
  </si>
  <si>
    <t>Largo (cm)</t>
  </si>
  <si>
    <t>Pedido al que corresponde</t>
  </si>
  <si>
    <t>Metros lineales</t>
  </si>
  <si>
    <t>Costo impresión</t>
  </si>
  <si>
    <t>Área impresa (m²)</t>
  </si>
  <si>
    <t>Archivo TIF sugerido</t>
  </si>
  <si>
    <t>TOTAL</t>
  </si>
  <si>
    <t>CONTROL DE ARCHIVOS Y TELA</t>
  </si>
  <si>
    <t>Metros lineales de este pedido</t>
  </si>
  <si>
    <t>Costo de impresión de este pedido</t>
  </si>
  <si>
    <t>Cantidad de archivos TIF entregados</t>
  </si>
  <si>
    <t>Fecha de entrega de archivos</t>
  </si>
  <si>
    <t>Un archivo de más de 5 m de largo conviene partirlo. El ancho siempre es 1.80 m; lo que varía es el largo.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</si>
</sst>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&quot; m&quot;"/>
  </numFmts>
  <fonts count="15">
    <font>
      <sz val="11.0"/>
      <color theme="1"/>
      <name val="Calibri"/>
      <scheme val="minor"/>
    </font>
    <font>
      <b/>
      <sz val="16.0"/>
      <color rgb="FFFFFFFF"/>
      <name val="Arial"/>
    </font>
    <font/>
    <font>
      <sz val="11.0"/>
      <color theme="1"/>
      <name val="Calibri"/>
    </font>
    <font>
      <i/>
      <sz val="8.0"/>
      <color rgb="FF666666"/>
      <name val="Arial"/>
    </font>
    <font>
      <b/>
      <sz val="9.0"/>
      <color theme="1"/>
      <name val="Arial"/>
    </font>
    <font>
      <sz val="9.0"/>
      <color theme="1"/>
      <name val="Arial"/>
    </font>
    <font>
      <b/>
      <sz val="9.0"/>
      <color rgb="FFFFFFFF"/>
      <name val="Arial"/>
    </font>
    <font>
      <b/>
      <sz val="11.0"/>
      <color rgb="FFFFFFFF"/>
      <name val="Arial"/>
    </font>
    <font>
      <sz val="9.0"/>
      <color rgb="FF0000FF"/>
      <name val="Arial"/>
    </font>
    <font>
      <sz val="9.0"/>
      <color rgb="FF1F3B2C"/>
      <name val="Arial"/>
    </font>
    <font>
      <b/>
      <sz val="9.0"/>
      <color rgb="FF9E2F22"/>
      <name val="Arial"/>
    </font>
    <font>
      <b/>
      <sz val="11.0"/>
      <color rgb="FF999999"/>
      <name val="Arial"/>
    </font>
    <font>
      <b/>
      <sz val="12.0"/>
      <color theme="1"/>
      <name val="Arial"/>
    </font>
    <font>
      <u/>
      <sz val="9.0"/>
      <color rgb="FF1F3B2C"/>
      <name val="Arial"/>
    </font>
  </fonts>
  <fills count="8">
    <fill>
      <patternFill patternType="none"/>
    </fill>
    <fill>
      <patternFill patternType="lightGray"/>
    </fill>
    <fill>
      <patternFill patternType="solid">
        <fgColor rgb="FF0F5132"/>
        <bgColor rgb="FF0F5132"/>
      </patternFill>
    </fill>
    <fill>
      <patternFill patternType="solid">
        <fgColor rgb="FF2E6B4F"/>
        <bgColor rgb="FF2E6B4F"/>
      </patternFill>
    </fill>
    <fill>
      <patternFill patternType="solid">
        <fgColor rgb="FFFFF6D5"/>
        <bgColor rgb="FFFFF6D5"/>
      </patternFill>
    </fill>
    <fill>
      <patternFill patternType="solid">
        <fgColor rgb="FF9E2F22"/>
        <bgColor rgb="FF9E2F22"/>
      </patternFill>
    </fill>
    <fill>
      <patternFill patternType="solid">
        <fgColor rgb="FF7D5810"/>
        <bgColor rgb="FF7D5810"/>
      </patternFill>
    </fill>
    <fill>
      <patternFill patternType="solid">
        <fgColor rgb="FFE9EBE5"/>
        <bgColor rgb="FFE9EBE5"/>
      </patternFill>
    </fill>
  </fills>
  <borders count="22">
    <border/>
    <border>
      <left/>
      <top/>
      <bottom/>
    </border>
    <border>
      <top/>
      <bottom/>
    </border>
    <border>
      <right/>
      <top/>
      <bottom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  <border>
      <left style="thin">
        <color rgb="FFBBBBBB"/>
      </left>
      <top style="thin">
        <color rgb="FFBBBBBB"/>
      </top>
      <bottom style="thin">
        <color rgb="FFBBBBBB"/>
      </bottom>
    </border>
    <border>
      <right style="thin">
        <color rgb="FFBBBBBB"/>
      </right>
      <top style="thin">
        <color rgb="FFBBBBBB"/>
      </top>
      <bottom style="thin">
        <color rgb="FFBBBBBB"/>
      </bottom>
    </border>
    <border>
      <top style="thin">
        <color rgb="FFBBBBBB"/>
      </top>
      <bottom style="thin">
        <color rgb="FFBBBBBB"/>
      </bottom>
    </border>
    <border>
      <left style="thin">
        <color rgb="FFBBBBBB"/>
      </left>
      <top style="thin">
        <color rgb="FFBBBBBB"/>
      </top>
    </border>
    <border>
      <right style="thin">
        <color rgb="FFBBBBBB"/>
      </right>
      <top style="thin">
        <color rgb="FFBBBBBB"/>
      </top>
    </border>
    <border>
      <left style="thin">
        <color rgb="FFBBBBBB"/>
      </left>
    </border>
    <border>
      <right style="thin">
        <color rgb="FFBBBBBB"/>
      </right>
    </border>
    <border>
      <left style="thin">
        <color rgb="FFBBBBBB"/>
      </left>
      <bottom style="thin">
        <color rgb="FFBBBBBB"/>
      </bottom>
    </border>
    <border>
      <right style="thin">
        <color rgb="FFBBBBBB"/>
      </right>
      <bottom style="thin">
        <color rgb="FFBBBBBB"/>
      </bottom>
    </border>
    <border>
      <left style="medium">
        <color rgb="FF0F5132"/>
      </left>
      <top style="medium">
        <color rgb="FF0F5132"/>
      </top>
    </border>
    <border>
      <top style="medium">
        <color rgb="FF0F5132"/>
      </top>
    </border>
    <border>
      <right style="medium">
        <color rgb="FF0F5132"/>
      </right>
      <top style="medium">
        <color rgb="FF0F5132"/>
      </top>
    </border>
    <border>
      <left style="medium">
        <color rgb="FF0F5132"/>
      </left>
    </border>
    <border>
      <right style="medium">
        <color rgb="FF0F5132"/>
      </right>
    </border>
    <border>
      <left style="medium">
        <color rgb="FF0F5132"/>
      </left>
      <bottom style="medium">
        <color rgb="FF0F5132"/>
      </bottom>
    </border>
    <border>
      <bottom style="medium">
        <color rgb="FF0F5132"/>
      </bottom>
    </border>
    <border>
      <right style="medium">
        <color rgb="FF0F5132"/>
      </right>
      <bottom style="medium">
        <color rgb="FF0F5132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shrinkToFit="0" vertical="top" wrapText="1"/>
    </xf>
    <xf borderId="4" fillId="3" fontId="7" numFmtId="0" xfId="0" applyAlignment="1" applyBorder="1" applyFill="1" applyFont="1">
      <alignment horizontal="center" shrinkToFit="0" vertical="center" wrapText="1"/>
    </xf>
    <xf borderId="1" fillId="2" fontId="8" numFmtId="0" xfId="0" applyAlignment="1" applyBorder="1" applyFill="1" applyFont="1">
      <alignment horizontal="left" shrinkToFit="0" vertical="center" wrapText="0"/>
    </xf>
    <xf borderId="4" fillId="0" fontId="6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shrinkToFit="0" vertical="bottom" wrapText="0"/>
    </xf>
    <xf borderId="5" fillId="4" fontId="9" numFmtId="0" xfId="0" applyAlignment="1" applyBorder="1" applyFill="1" applyFont="1">
      <alignment shrinkToFit="0" vertical="bottom" wrapText="0"/>
    </xf>
    <xf borderId="6" fillId="0" fontId="2" numFmtId="0" xfId="0" applyBorder="1" applyFont="1"/>
    <xf borderId="4" fillId="4" fontId="5" numFmtId="0" xfId="0" applyAlignment="1" applyBorder="1" applyFill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4" fillId="0" fontId="5" numFmtId="0" xfId="0" applyAlignment="1" applyBorder="1" applyFont="1">
      <alignment shrinkToFit="0" vertical="bottom" wrapText="0"/>
    </xf>
    <xf borderId="4" fillId="2" fontId="5" numFmtId="0" xfId="0" applyAlignment="1" applyBorder="1" applyFill="1" applyFont="1">
      <alignment shrinkToFit="0" vertical="bottom" wrapText="0"/>
    </xf>
    <xf borderId="0" fillId="0" fontId="10" numFmtId="0" xfId="0" applyAlignment="1" applyFont="1">
      <alignment horizontal="center" shrinkToFit="0" vertical="bottom" wrapText="0"/>
    </xf>
    <xf borderId="4" fillId="4" fontId="9" numFmtId="0" xfId="0" applyAlignment="1" applyBorder="1" applyFill="1" applyFont="1">
      <alignment shrinkToFit="0" vertical="bottom" wrapText="0"/>
    </xf>
    <xf borderId="4" fillId="4" fontId="9" numFmtId="9" xfId="0" applyAlignment="1" applyBorder="1" applyFill="1" applyFont="1" applyNumberFormat="1">
      <alignment shrinkToFit="0" vertical="bottom" wrapText="0"/>
    </xf>
    <xf borderId="4" fillId="0" fontId="10" numFmtId="0" xfId="0" applyAlignment="1" applyBorder="1" applyFont="1">
      <alignment shrinkToFit="0" vertical="bottom" wrapText="0"/>
    </xf>
    <xf borderId="4" fillId="4" fontId="9" numFmtId="1" xfId="0" applyAlignment="1" applyBorder="1" applyFill="1" applyFont="1" applyNumberFormat="1">
      <alignment shrinkToFit="0" vertical="bottom" wrapText="0"/>
    </xf>
    <xf borderId="4" fillId="4" fontId="9" numFmtId="2" xfId="0" applyAlignment="1" applyBorder="1" applyFill="1" applyFont="1" applyNumberFormat="1">
      <alignment shrinkToFit="0" vertical="bottom" wrapText="0"/>
    </xf>
    <xf borderId="1" fillId="5" fontId="8" numFmtId="0" xfId="0" applyAlignment="1" applyBorder="1" applyFill="1" applyFont="1">
      <alignment horizontal="left" shrinkToFit="0" vertical="center" wrapText="0"/>
    </xf>
    <xf borderId="4" fillId="3" fontId="7" numFmtId="0" xfId="0" applyAlignment="1" applyBorder="1" applyFill="1" applyFont="1">
      <alignment horizontal="center" shrinkToFit="0" vertical="center" wrapText="0"/>
    </xf>
    <xf borderId="0" fillId="0" fontId="11" numFmtId="0" xfId="0" applyAlignment="1" applyFont="1">
      <alignment shrinkToFit="0" vertical="bottom" wrapText="0"/>
    </xf>
    <xf borderId="5" fillId="3" fontId="7" numFmtId="0" xfId="0" applyAlignment="1" applyBorder="1" applyFill="1" applyFont="1">
      <alignment horizontal="center" shrinkToFit="0" vertical="center" wrapText="0"/>
    </xf>
    <xf borderId="7" fillId="0" fontId="2" numFmtId="0" xfId="0" applyBorder="1" applyFont="1"/>
    <xf borderId="1" fillId="6" fontId="8" numFmtId="0" xfId="0" applyAlignment="1" applyBorder="1" applyFill="1" applyFont="1">
      <alignment horizontal="left" shrinkToFit="0" vertical="center" wrapText="0"/>
    </xf>
    <xf borderId="4" fillId="0" fontId="10" numFmtId="0" xfId="0" applyAlignment="1" applyBorder="1" applyFont="1">
      <alignment horizontal="center" shrinkToFit="0" vertical="bottom" wrapText="0"/>
    </xf>
    <xf borderId="0" fillId="0" fontId="11" numFmtId="0" xfId="0" applyAlignment="1" applyFont="1">
      <alignment horizontal="center" shrinkToFit="0" vertical="bottom" wrapText="0"/>
    </xf>
    <xf borderId="8" fillId="0" fontId="12" numFmtId="0" xfId="0" applyAlignment="1" applyBorder="1" applyFont="1">
      <alignment horizontal="center" shrinkToFit="0" vertical="center" wrapText="0"/>
    </xf>
    <xf borderId="9" fillId="0" fontId="2" numFmtId="0" xfId="0" applyBorder="1" applyFont="1"/>
    <xf borderId="0" fillId="0" fontId="13" numFmtId="0" xfId="0" applyAlignment="1" applyFont="1">
      <alignment shrinkToFit="0" vertical="bottom" wrapText="0"/>
    </xf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0" fillId="0" fontId="10" numFmtId="0" xfId="0" applyAlignment="1" applyFont="1">
      <alignment shrinkToFit="0" vertical="bottom" wrapText="0"/>
    </xf>
    <xf borderId="14" fillId="0" fontId="12" numFmtId="0" xfId="0" applyAlignment="1" applyBorder="1" applyFont="1">
      <alignment horizontal="center" shrinkToFit="0" vertical="center" wrapText="1"/>
    </xf>
    <xf borderId="15" fillId="0" fontId="2" numFmtId="0" xfId="0" applyBorder="1" applyFont="1"/>
    <xf borderId="16" fillId="0" fontId="2" numFmtId="0" xfId="0" applyBorder="1" applyFont="1"/>
    <xf borderId="17" fillId="0" fontId="2" numFmtId="0" xfId="0" applyBorder="1" applyFont="1"/>
    <xf borderId="18" fillId="0" fontId="2" numFmtId="0" xfId="0" applyBorder="1" applyFont="1"/>
    <xf borderId="19" fillId="0" fontId="2" numFmtId="0" xfId="0" applyBorder="1" applyFont="1"/>
    <xf borderId="20" fillId="0" fontId="2" numFmtId="0" xfId="0" applyBorder="1" applyFont="1"/>
    <xf borderId="21" fillId="0" fontId="2" numFmtId="0" xfId="0" applyBorder="1" applyFont="1"/>
    <xf borderId="4" fillId="0" fontId="3" numFmtId="0" xfId="0" applyAlignment="1" applyBorder="1" applyFont="1">
      <alignment shrinkToFit="0" vertical="bottom" wrapText="0"/>
    </xf>
    <xf borderId="4" fillId="7" fontId="13" numFmtId="0" xfId="0" applyAlignment="1" applyBorder="1" applyFill="1" applyFont="1">
      <alignment shrinkToFit="0" vertical="bottom" wrapText="0"/>
    </xf>
    <xf borderId="4" fillId="0" fontId="14" numFmtId="0" xfId="0" applyAlignment="1" applyBorder="1" applyFont="1">
      <alignment shrinkToFit="0" vertical="bottom" wrapText="0"/>
    </xf>
    <xf borderId="4" fillId="0" fontId="10" numFmtId="164" xfId="0" applyAlignment="1" applyBorder="1" applyFont="1" applyNumberFormat="1">
      <alignment shrinkToFit="0" vertical="bottom" wrapText="0"/>
    </xf>
    <xf borderId="4" fillId="0" fontId="10" numFmtId="2" xfId="0" applyAlignment="1" applyBorder="1" applyFont="1" applyNumberFormat="1">
      <alignment shrinkToFit="0" vertical="bottom" wrapText="0"/>
    </xf>
    <xf borderId="0" fillId="0" fontId="13" numFmtId="164" xfId="0" applyAlignment="1" applyFont="1" applyNumberFormat="1">
      <alignment shrinkToFit="0" vertical="bottom" wrapText="0"/>
    </xf>
    <xf borderId="0" fillId="0" fontId="13" numFmtId="2" xfId="0" applyAlignment="1" applyFont="1" applyNumberFormat="1">
      <alignment shrinkToFit="0" vertical="bottom" wrapText="0"/>
    </xf>
    <xf borderId="0" fillId="0" fontId="10" numFmtId="164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30.0"/>
    <col customWidth="1" min="3" max="6" width="22.0"/>
    <col customWidth="1" min="7" max="26" width="8.71"/>
  </cols>
  <sheetData>
    <row r="1" ht="30.0" customHeight="1">
      <c r="A1" s="1" t="s">
        <v>1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 ht="31.5" customHeight="1">
      <c r="A3" s="6" t="s">
        <v>5</v>
      </c>
      <c r="B3" s="7" t="s">
        <v>8</v>
      </c>
    </row>
    <row r="4">
      <c r="A4" s="4"/>
      <c r="B4" s="4"/>
      <c r="C4" s="4"/>
      <c r="D4" s="4"/>
      <c r="E4" s="4"/>
      <c r="F4" s="4"/>
    </row>
    <row r="5" ht="31.5" customHeight="1">
      <c r="A5" s="6" t="s">
        <v>11</v>
      </c>
      <c r="B5" s="7" t="s">
        <v>12</v>
      </c>
    </row>
    <row r="6" ht="31.5" customHeight="1">
      <c r="A6" s="6" t="s">
        <v>13</v>
      </c>
      <c r="B6" s="7" t="s">
        <v>15</v>
      </c>
    </row>
    <row r="7" ht="31.5" customHeight="1">
      <c r="A7" s="6" t="s">
        <v>18</v>
      </c>
      <c r="B7" s="7" t="s">
        <v>19</v>
      </c>
    </row>
    <row r="8" ht="31.5" customHeight="1">
      <c r="A8" s="6" t="s">
        <v>23</v>
      </c>
      <c r="B8" s="7" t="s">
        <v>25</v>
      </c>
    </row>
    <row r="9" ht="31.5" customHeight="1">
      <c r="A9" s="6" t="s">
        <v>29</v>
      </c>
      <c r="B9" s="7" t="s">
        <v>32</v>
      </c>
    </row>
    <row r="10" ht="31.5" customHeight="1">
      <c r="A10" s="6" t="s">
        <v>37</v>
      </c>
      <c r="B10" s="7" t="s">
        <v>38</v>
      </c>
    </row>
    <row r="11" ht="31.5" customHeight="1">
      <c r="A11" s="6" t="s">
        <v>42</v>
      </c>
      <c r="B11" s="7" t="s">
        <v>44</v>
      </c>
    </row>
    <row r="12">
      <c r="A12" s="4"/>
      <c r="B12" s="4"/>
      <c r="C12" s="4"/>
      <c r="D12" s="4"/>
      <c r="E12" s="4"/>
      <c r="F12" s="4"/>
    </row>
    <row r="13" ht="31.5" customHeight="1">
      <c r="A13" s="6" t="s">
        <v>49</v>
      </c>
      <c r="B13" s="7" t="s">
        <v>51</v>
      </c>
    </row>
    <row r="14">
      <c r="A14" s="4"/>
      <c r="B14" s="4"/>
      <c r="C14" s="4"/>
      <c r="D14" s="4"/>
      <c r="E14" s="4"/>
      <c r="F14" s="4"/>
    </row>
    <row r="15" ht="31.5" customHeight="1">
      <c r="A15" s="6" t="s">
        <v>58</v>
      </c>
      <c r="B15" s="7" t="s">
        <v>59</v>
      </c>
    </row>
    <row r="16">
      <c r="A16" s="4"/>
      <c r="B16" s="4"/>
      <c r="C16" s="4"/>
      <c r="D16" s="4"/>
      <c r="E16" s="4"/>
      <c r="F16" s="4"/>
    </row>
    <row r="17" ht="19.5" customHeight="1">
      <c r="A17" s="9" t="s">
        <v>65</v>
      </c>
      <c r="B17" s="2"/>
      <c r="C17" s="2"/>
      <c r="D17" s="2"/>
      <c r="E17" s="2"/>
      <c r="F17" s="3"/>
    </row>
    <row r="18" ht="15.0" customHeight="1">
      <c r="A18" s="14" t="s">
        <v>73</v>
      </c>
      <c r="B18" s="15" t="s">
        <v>77</v>
      </c>
      <c r="C18" s="4"/>
      <c r="D18" s="4"/>
      <c r="E18" s="4"/>
      <c r="F18" s="4"/>
    </row>
    <row r="19" ht="15.0" customHeight="1">
      <c r="A19" s="16" t="s">
        <v>81</v>
      </c>
      <c r="B19" s="15" t="s">
        <v>82</v>
      </c>
      <c r="C19" s="4"/>
      <c r="D19" s="4"/>
      <c r="E19" s="4"/>
      <c r="F19" s="4"/>
    </row>
    <row r="20" ht="15.0" customHeight="1">
      <c r="A20" s="17" t="s">
        <v>86</v>
      </c>
      <c r="B20" s="15" t="s">
        <v>88</v>
      </c>
      <c r="C20" s="4"/>
      <c r="D20" s="4"/>
      <c r="E20" s="4"/>
      <c r="F20" s="4"/>
    </row>
    <row r="21" ht="15.75" customHeight="1">
      <c r="A21" s="4"/>
      <c r="B21" s="4"/>
      <c r="C21" s="4"/>
      <c r="D21" s="4"/>
      <c r="E21" s="4"/>
      <c r="F21" s="4"/>
    </row>
    <row r="22" ht="15.75" customHeight="1">
      <c r="A22" s="4"/>
      <c r="B22" s="4"/>
      <c r="C22" s="4"/>
      <c r="D22" s="4"/>
      <c r="E22" s="4"/>
      <c r="F22" s="4"/>
    </row>
    <row r="23" ht="15.75" customHeight="1">
      <c r="A23" s="4"/>
      <c r="B23" s="4"/>
      <c r="C23" s="4"/>
      <c r="D23" s="4"/>
      <c r="E23" s="4"/>
      <c r="F23" s="4"/>
    </row>
    <row r="24" ht="15.75" customHeight="1">
      <c r="A24" s="4"/>
      <c r="B24" s="4"/>
      <c r="C24" s="4"/>
      <c r="D24" s="4"/>
      <c r="E24" s="4"/>
      <c r="F24" s="4"/>
    </row>
    <row r="25" ht="15.75" customHeight="1">
      <c r="A25" s="4"/>
      <c r="B25" s="4"/>
      <c r="C25" s="4"/>
      <c r="D25" s="4"/>
      <c r="E25" s="4"/>
      <c r="F25" s="4"/>
    </row>
    <row r="26" ht="15.75" customHeight="1">
      <c r="A26" s="4"/>
      <c r="B26" s="4"/>
      <c r="C26" s="4"/>
      <c r="D26" s="4"/>
      <c r="E26" s="4"/>
      <c r="F26" s="4"/>
    </row>
    <row r="27" ht="15.75" customHeight="1">
      <c r="A27" s="4"/>
      <c r="B27" s="4"/>
      <c r="C27" s="4"/>
      <c r="D27" s="4"/>
      <c r="E27" s="4"/>
      <c r="F27" s="4"/>
    </row>
    <row r="28" ht="15.75" customHeight="1">
      <c r="A28" s="4"/>
      <c r="B28" s="4"/>
      <c r="C28" s="4"/>
      <c r="D28" s="4"/>
      <c r="E28" s="4"/>
      <c r="F28" s="4"/>
    </row>
    <row r="29" ht="15.75" customHeight="1">
      <c r="A29" s="4"/>
      <c r="B29" s="4"/>
      <c r="C29" s="4"/>
      <c r="D29" s="4"/>
      <c r="E29" s="4"/>
      <c r="F29" s="4"/>
    </row>
    <row r="30" ht="15.75" customHeight="1">
      <c r="A30" s="4"/>
      <c r="B30" s="4"/>
      <c r="C30" s="4"/>
      <c r="D30" s="4"/>
      <c r="E30" s="4"/>
      <c r="F30" s="4"/>
    </row>
    <row r="31" ht="15.75" customHeight="1">
      <c r="A31" s="4"/>
      <c r="B31" s="4"/>
      <c r="C31" s="4"/>
      <c r="D31" s="4"/>
      <c r="E31" s="4"/>
      <c r="F31" s="4"/>
    </row>
    <row r="32" ht="15.75" customHeight="1">
      <c r="A32" s="4"/>
      <c r="B32" s="4"/>
      <c r="C32" s="4"/>
      <c r="D32" s="4"/>
      <c r="E32" s="4"/>
      <c r="F32" s="4"/>
    </row>
    <row r="33" ht="15.75" customHeight="1">
      <c r="A33" s="4"/>
      <c r="B33" s="4"/>
      <c r="C33" s="4"/>
      <c r="D33" s="4"/>
      <c r="E33" s="4"/>
      <c r="F33" s="4"/>
    </row>
    <row r="34" ht="15.75" customHeight="1">
      <c r="A34" s="4"/>
      <c r="B34" s="4"/>
      <c r="C34" s="4"/>
      <c r="D34" s="4"/>
      <c r="E34" s="4"/>
      <c r="F34" s="4"/>
    </row>
    <row r="35" ht="15.75" customHeight="1">
      <c r="A35" s="4"/>
      <c r="B35" s="4"/>
      <c r="C35" s="4"/>
      <c r="D35" s="4"/>
      <c r="E35" s="4"/>
      <c r="F35" s="4"/>
    </row>
    <row r="36" ht="15.75" customHeight="1">
      <c r="A36" s="4"/>
      <c r="B36" s="4"/>
      <c r="C36" s="4"/>
      <c r="D36" s="4"/>
      <c r="E36" s="4"/>
      <c r="F36" s="4"/>
    </row>
    <row r="37" ht="15.75" customHeight="1">
      <c r="A37" s="4"/>
      <c r="B37" s="4"/>
      <c r="C37" s="4"/>
      <c r="D37" s="4"/>
      <c r="E37" s="4"/>
      <c r="F37" s="4"/>
    </row>
    <row r="38" ht="15.75" customHeight="1">
      <c r="A38" s="4"/>
      <c r="B38" s="4"/>
      <c r="C38" s="4"/>
      <c r="D38" s="4"/>
      <c r="E38" s="4"/>
      <c r="F38" s="4"/>
    </row>
    <row r="39" ht="15.75" customHeight="1">
      <c r="A39" s="4"/>
      <c r="B39" s="4"/>
      <c r="C39" s="4"/>
      <c r="D39" s="4"/>
      <c r="E39" s="4"/>
      <c r="F39" s="4"/>
    </row>
    <row r="40" ht="15.75" customHeight="1">
      <c r="A40" s="4"/>
      <c r="B40" s="4"/>
      <c r="C40" s="4"/>
      <c r="D40" s="4"/>
      <c r="E40" s="4"/>
      <c r="F40" s="4"/>
    </row>
    <row r="41" ht="15.75" customHeight="1">
      <c r="A41" s="4"/>
      <c r="B41" s="4"/>
      <c r="C41" s="4"/>
      <c r="D41" s="4"/>
      <c r="E41" s="4"/>
      <c r="F41" s="4"/>
    </row>
    <row r="42" ht="15.75" customHeight="1">
      <c r="A42" s="4"/>
      <c r="B42" s="4"/>
      <c r="C42" s="4"/>
      <c r="D42" s="4"/>
      <c r="E42" s="4"/>
      <c r="F42" s="4"/>
    </row>
    <row r="43" ht="15.75" customHeight="1">
      <c r="A43" s="4"/>
      <c r="B43" s="4"/>
      <c r="C43" s="4"/>
      <c r="D43" s="4"/>
      <c r="E43" s="4"/>
      <c r="F43" s="4"/>
    </row>
    <row r="44" ht="15.75" customHeight="1">
      <c r="A44" s="4"/>
      <c r="B44" s="4"/>
      <c r="C44" s="4"/>
      <c r="D44" s="4"/>
      <c r="E44" s="4"/>
      <c r="F44" s="4"/>
    </row>
    <row r="45" ht="15.75" customHeight="1">
      <c r="A45" s="4"/>
      <c r="B45" s="4"/>
      <c r="C45" s="4"/>
      <c r="D45" s="4"/>
      <c r="E45" s="4"/>
      <c r="F45" s="4"/>
    </row>
    <row r="46" ht="15.75" customHeight="1">
      <c r="A46" s="4"/>
      <c r="B46" s="4"/>
      <c r="C46" s="4"/>
      <c r="D46" s="4"/>
      <c r="E46" s="4"/>
      <c r="F46" s="4"/>
    </row>
    <row r="47" ht="15.75" customHeight="1">
      <c r="A47" s="4"/>
      <c r="B47" s="4"/>
      <c r="C47" s="4"/>
      <c r="D47" s="4"/>
      <c r="E47" s="4"/>
      <c r="F47" s="4"/>
    </row>
    <row r="48" ht="15.75" customHeight="1">
      <c r="A48" s="4"/>
      <c r="B48" s="4"/>
      <c r="C48" s="4"/>
      <c r="D48" s="4"/>
      <c r="E48" s="4"/>
      <c r="F48" s="4"/>
    </row>
    <row r="49" ht="15.75" customHeight="1">
      <c r="A49" s="4"/>
      <c r="B49" s="4"/>
      <c r="C49" s="4"/>
      <c r="D49" s="4"/>
      <c r="E49" s="4"/>
      <c r="F49" s="4"/>
    </row>
    <row r="50" ht="15.75" customHeight="1">
      <c r="A50" s="4"/>
      <c r="B50" s="4"/>
      <c r="C50" s="4"/>
      <c r="D50" s="4"/>
      <c r="E50" s="4"/>
      <c r="F50" s="4"/>
    </row>
    <row r="51" ht="15.75" customHeight="1">
      <c r="A51" s="4"/>
      <c r="B51" s="4"/>
      <c r="C51" s="4"/>
      <c r="D51" s="4"/>
      <c r="E51" s="4"/>
      <c r="F51" s="4"/>
    </row>
    <row r="52" ht="15.75" customHeight="1">
      <c r="A52" s="4"/>
      <c r="B52" s="4"/>
      <c r="C52" s="4"/>
      <c r="D52" s="4"/>
      <c r="E52" s="4"/>
      <c r="F52" s="4"/>
    </row>
    <row r="53" ht="15.75" customHeight="1">
      <c r="A53" s="4"/>
      <c r="B53" s="4"/>
      <c r="C53" s="4"/>
      <c r="D53" s="4"/>
      <c r="E53" s="4"/>
      <c r="F53" s="4"/>
    </row>
    <row r="54" ht="15.75" customHeight="1">
      <c r="A54" s="4"/>
      <c r="B54" s="4"/>
      <c r="C54" s="4"/>
      <c r="D54" s="4"/>
      <c r="E54" s="4"/>
      <c r="F54" s="4"/>
    </row>
    <row r="55" ht="15.75" customHeight="1">
      <c r="A55" s="4"/>
      <c r="B55" s="4"/>
      <c r="C55" s="4"/>
      <c r="D55" s="4"/>
      <c r="E55" s="4"/>
      <c r="F55" s="4"/>
    </row>
    <row r="56" ht="15.75" customHeight="1">
      <c r="A56" s="4"/>
      <c r="B56" s="4"/>
      <c r="C56" s="4"/>
      <c r="D56" s="4"/>
      <c r="E56" s="4"/>
      <c r="F56" s="4"/>
    </row>
    <row r="57" ht="15.75" customHeight="1">
      <c r="A57" s="4"/>
      <c r="B57" s="4"/>
      <c r="C57" s="4"/>
      <c r="D57" s="4"/>
      <c r="E57" s="4"/>
      <c r="F57" s="4"/>
    </row>
    <row r="58" ht="15.75" customHeight="1">
      <c r="A58" s="4"/>
      <c r="B58" s="4"/>
      <c r="C58" s="4"/>
      <c r="D58" s="4"/>
      <c r="E58" s="4"/>
      <c r="F58" s="4"/>
    </row>
    <row r="59" ht="15.75" customHeight="1">
      <c r="A59" s="4"/>
      <c r="B59" s="4"/>
      <c r="C59" s="4"/>
      <c r="D59" s="4"/>
      <c r="E59" s="4"/>
      <c r="F59" s="4"/>
    </row>
    <row r="60" ht="15.75" customHeight="1">
      <c r="A60" s="4"/>
      <c r="B60" s="4"/>
      <c r="C60" s="4"/>
      <c r="D60" s="4"/>
      <c r="E60" s="4"/>
      <c r="F60" s="4"/>
    </row>
    <row r="61" ht="15.75" customHeight="1">
      <c r="A61" s="4"/>
      <c r="B61" s="4"/>
      <c r="C61" s="4"/>
      <c r="D61" s="4"/>
      <c r="E61" s="4"/>
      <c r="F61" s="4"/>
    </row>
    <row r="62" ht="15.75" customHeight="1">
      <c r="A62" s="4"/>
      <c r="B62" s="4"/>
      <c r="C62" s="4"/>
      <c r="D62" s="4"/>
      <c r="E62" s="4"/>
      <c r="F62" s="4"/>
    </row>
    <row r="63" ht="15.75" customHeight="1">
      <c r="A63" s="4"/>
      <c r="B63" s="4"/>
      <c r="C63" s="4"/>
      <c r="D63" s="4"/>
      <c r="E63" s="4"/>
      <c r="F63" s="4"/>
    </row>
    <row r="64" ht="15.75" customHeight="1">
      <c r="A64" s="4"/>
      <c r="B64" s="4"/>
      <c r="C64" s="4"/>
      <c r="D64" s="4"/>
      <c r="E64" s="4"/>
      <c r="F64" s="4"/>
    </row>
    <row r="65" ht="15.75" customHeight="1">
      <c r="A65" s="4"/>
      <c r="B65" s="4"/>
      <c r="C65" s="4"/>
      <c r="D65" s="4"/>
      <c r="E65" s="4"/>
      <c r="F65" s="4"/>
    </row>
    <row r="66" ht="15.75" customHeight="1">
      <c r="A66" s="4"/>
      <c r="B66" s="4"/>
      <c r="C66" s="4"/>
      <c r="D66" s="4"/>
      <c r="E66" s="4"/>
      <c r="F66" s="4"/>
    </row>
    <row r="67" ht="15.75" customHeight="1">
      <c r="A67" s="4"/>
      <c r="B67" s="4"/>
      <c r="C67" s="4"/>
      <c r="D67" s="4"/>
      <c r="E67" s="4"/>
      <c r="F67" s="4"/>
    </row>
    <row r="68" ht="15.75" customHeight="1">
      <c r="A68" s="4"/>
      <c r="B68" s="4"/>
      <c r="C68" s="4"/>
      <c r="D68" s="4"/>
      <c r="E68" s="4"/>
      <c r="F68" s="4"/>
    </row>
    <row r="69" ht="15.75" customHeight="1">
      <c r="A69" s="4"/>
      <c r="B69" s="4"/>
      <c r="C69" s="4"/>
      <c r="D69" s="4"/>
      <c r="E69" s="4"/>
      <c r="F69" s="4"/>
    </row>
    <row r="70" ht="15.75" customHeight="1">
      <c r="A70" s="4"/>
      <c r="B70" s="4"/>
      <c r="C70" s="4"/>
      <c r="D70" s="4"/>
      <c r="E70" s="4"/>
      <c r="F70" s="4"/>
    </row>
    <row r="71" ht="15.75" customHeight="1">
      <c r="A71" s="4"/>
      <c r="B71" s="4"/>
      <c r="C71" s="4"/>
      <c r="D71" s="4"/>
      <c r="E71" s="4"/>
      <c r="F71" s="4"/>
    </row>
    <row r="72" ht="15.75" customHeight="1">
      <c r="A72" s="4"/>
      <c r="B72" s="4"/>
      <c r="C72" s="4"/>
      <c r="D72" s="4"/>
      <c r="E72" s="4"/>
      <c r="F72" s="4"/>
    </row>
    <row r="73" ht="15.75" customHeight="1">
      <c r="A73" s="4"/>
      <c r="B73" s="4"/>
      <c r="C73" s="4"/>
      <c r="D73" s="4"/>
      <c r="E73" s="4"/>
      <c r="F73" s="4"/>
    </row>
    <row r="74" ht="15.75" customHeight="1">
      <c r="A74" s="4"/>
      <c r="B74" s="4"/>
      <c r="C74" s="4"/>
      <c r="D74" s="4"/>
      <c r="E74" s="4"/>
      <c r="F74" s="4"/>
    </row>
    <row r="75" ht="15.75" customHeight="1">
      <c r="A75" s="4"/>
      <c r="B75" s="4"/>
      <c r="C75" s="4"/>
      <c r="D75" s="4"/>
      <c r="E75" s="4"/>
      <c r="F75" s="4"/>
    </row>
    <row r="76" ht="15.75" customHeight="1">
      <c r="A76" s="4"/>
      <c r="B76" s="4"/>
      <c r="C76" s="4"/>
      <c r="D76" s="4"/>
      <c r="E76" s="4"/>
      <c r="F76" s="4"/>
    </row>
    <row r="77" ht="15.75" customHeight="1">
      <c r="A77" s="4"/>
      <c r="B77" s="4"/>
      <c r="C77" s="4"/>
      <c r="D77" s="4"/>
      <c r="E77" s="4"/>
      <c r="F77" s="4"/>
    </row>
    <row r="78" ht="15.75" customHeight="1">
      <c r="A78" s="4"/>
      <c r="B78" s="4"/>
      <c r="C78" s="4"/>
      <c r="D78" s="4"/>
      <c r="E78" s="4"/>
      <c r="F78" s="4"/>
    </row>
    <row r="79" ht="15.75" customHeight="1">
      <c r="A79" s="4"/>
      <c r="B79" s="4"/>
      <c r="C79" s="4"/>
      <c r="D79" s="4"/>
      <c r="E79" s="4"/>
      <c r="F79" s="4"/>
    </row>
    <row r="80" ht="15.75" customHeight="1">
      <c r="A80" s="4"/>
      <c r="B80" s="4"/>
      <c r="C80" s="4"/>
      <c r="D80" s="4"/>
      <c r="E80" s="4"/>
      <c r="F80" s="4"/>
    </row>
    <row r="81" ht="15.75" customHeight="1">
      <c r="A81" s="4"/>
      <c r="B81" s="4"/>
      <c r="C81" s="4"/>
      <c r="D81" s="4"/>
      <c r="E81" s="4"/>
      <c r="F81" s="4"/>
    </row>
    <row r="82" ht="15.75" customHeight="1">
      <c r="A82" s="4"/>
      <c r="B82" s="4"/>
      <c r="C82" s="4"/>
      <c r="D82" s="4"/>
      <c r="E82" s="4"/>
      <c r="F82" s="4"/>
    </row>
    <row r="83" ht="15.75" customHeight="1">
      <c r="A83" s="4"/>
      <c r="B83" s="4"/>
      <c r="C83" s="4"/>
      <c r="D83" s="4"/>
      <c r="E83" s="4"/>
      <c r="F83" s="4"/>
    </row>
    <row r="84" ht="15.75" customHeight="1">
      <c r="A84" s="4"/>
      <c r="B84" s="4"/>
      <c r="C84" s="4"/>
      <c r="D84" s="4"/>
      <c r="E84" s="4"/>
      <c r="F84" s="4"/>
    </row>
    <row r="85" ht="15.75" customHeight="1">
      <c r="A85" s="4"/>
      <c r="B85" s="4"/>
      <c r="C85" s="4"/>
      <c r="D85" s="4"/>
      <c r="E85" s="4"/>
      <c r="F85" s="4"/>
    </row>
    <row r="86" ht="15.75" customHeight="1">
      <c r="A86" s="4"/>
      <c r="B86" s="4"/>
      <c r="C86" s="4"/>
      <c r="D86" s="4"/>
      <c r="E86" s="4"/>
      <c r="F86" s="4"/>
    </row>
    <row r="87" ht="15.75" customHeight="1">
      <c r="A87" s="4"/>
      <c r="B87" s="4"/>
      <c r="C87" s="4"/>
      <c r="D87" s="4"/>
      <c r="E87" s="4"/>
      <c r="F87" s="4"/>
    </row>
    <row r="88" ht="15.75" customHeight="1">
      <c r="A88" s="4"/>
      <c r="B88" s="4"/>
      <c r="C88" s="4"/>
      <c r="D88" s="4"/>
      <c r="E88" s="4"/>
      <c r="F88" s="4"/>
    </row>
    <row r="89" ht="15.75" customHeight="1">
      <c r="A89" s="4"/>
      <c r="B89" s="4"/>
      <c r="C89" s="4"/>
      <c r="D89" s="4"/>
      <c r="E89" s="4"/>
      <c r="F89" s="4"/>
    </row>
    <row r="90" ht="15.75" customHeight="1">
      <c r="A90" s="4"/>
      <c r="B90" s="4"/>
      <c r="C90" s="4"/>
      <c r="D90" s="4"/>
      <c r="E90" s="4"/>
      <c r="F90" s="4"/>
    </row>
    <row r="91" ht="15.75" customHeight="1">
      <c r="A91" s="4"/>
      <c r="B91" s="4"/>
      <c r="C91" s="4"/>
      <c r="D91" s="4"/>
      <c r="E91" s="4"/>
      <c r="F91" s="4"/>
    </row>
    <row r="92" ht="15.75" customHeight="1">
      <c r="A92" s="4"/>
      <c r="B92" s="4"/>
      <c r="C92" s="4"/>
      <c r="D92" s="4"/>
      <c r="E92" s="4"/>
      <c r="F92" s="4"/>
    </row>
    <row r="93" ht="15.75" customHeight="1">
      <c r="A93" s="4"/>
      <c r="B93" s="4"/>
      <c r="C93" s="4"/>
      <c r="D93" s="4"/>
      <c r="E93" s="4"/>
      <c r="F93" s="4"/>
    </row>
    <row r="94" ht="15.75" customHeight="1">
      <c r="A94" s="4"/>
      <c r="B94" s="4"/>
      <c r="C94" s="4"/>
      <c r="D94" s="4"/>
      <c r="E94" s="4"/>
      <c r="F94" s="4"/>
    </row>
    <row r="95" ht="15.75" customHeight="1">
      <c r="A95" s="4"/>
      <c r="B95" s="4"/>
      <c r="C95" s="4"/>
      <c r="D95" s="4"/>
      <c r="E95" s="4"/>
      <c r="F95" s="4"/>
    </row>
    <row r="96" ht="15.75" customHeight="1">
      <c r="A96" s="4"/>
      <c r="B96" s="4"/>
      <c r="C96" s="4"/>
      <c r="D96" s="4"/>
      <c r="E96" s="4"/>
      <c r="F96" s="4"/>
    </row>
    <row r="97" ht="15.75" customHeight="1">
      <c r="A97" s="4"/>
      <c r="B97" s="4"/>
      <c r="C97" s="4"/>
      <c r="D97" s="4"/>
      <c r="E97" s="4"/>
      <c r="F97" s="4"/>
    </row>
    <row r="98" ht="15.75" customHeight="1">
      <c r="A98" s="4"/>
      <c r="B98" s="4"/>
      <c r="C98" s="4"/>
      <c r="D98" s="4"/>
      <c r="E98" s="4"/>
      <c r="F98" s="4"/>
    </row>
    <row r="99" ht="15.75" customHeight="1">
      <c r="A99" s="4"/>
      <c r="B99" s="4"/>
      <c r="C99" s="4"/>
      <c r="D99" s="4"/>
      <c r="E99" s="4"/>
      <c r="F99" s="4"/>
    </row>
    <row r="100" ht="15.75" customHeight="1">
      <c r="A100" s="4"/>
      <c r="B100" s="4"/>
      <c r="C100" s="4"/>
      <c r="D100" s="4"/>
      <c r="E100" s="4"/>
      <c r="F100" s="4"/>
    </row>
    <row r="101" ht="15.75" customHeight="1">
      <c r="A101" s="4"/>
      <c r="B101" s="4"/>
      <c r="C101" s="4"/>
      <c r="D101" s="4"/>
      <c r="E101" s="4"/>
      <c r="F101" s="4"/>
    </row>
    <row r="102" ht="15.75" customHeight="1">
      <c r="A102" s="4"/>
      <c r="B102" s="4"/>
      <c r="C102" s="4"/>
      <c r="D102" s="4"/>
      <c r="E102" s="4"/>
      <c r="F102" s="4"/>
    </row>
    <row r="103" ht="15.75" customHeight="1">
      <c r="A103" s="4"/>
      <c r="B103" s="4"/>
      <c r="C103" s="4"/>
      <c r="D103" s="4"/>
      <c r="E103" s="4"/>
      <c r="F103" s="4"/>
    </row>
    <row r="104" ht="15.75" customHeight="1">
      <c r="A104" s="4"/>
      <c r="B104" s="4"/>
      <c r="C104" s="4"/>
      <c r="D104" s="4"/>
      <c r="E104" s="4"/>
      <c r="F104" s="4"/>
    </row>
    <row r="105" ht="15.75" customHeight="1">
      <c r="A105" s="4"/>
      <c r="B105" s="4"/>
      <c r="C105" s="4"/>
      <c r="D105" s="4"/>
      <c r="E105" s="4"/>
      <c r="F105" s="4"/>
    </row>
    <row r="106" ht="15.75" customHeight="1">
      <c r="A106" s="4"/>
      <c r="B106" s="4"/>
      <c r="C106" s="4"/>
      <c r="D106" s="4"/>
      <c r="E106" s="4"/>
      <c r="F106" s="4"/>
    </row>
    <row r="107" ht="15.75" customHeight="1">
      <c r="A107" s="4"/>
      <c r="B107" s="4"/>
      <c r="C107" s="4"/>
      <c r="D107" s="4"/>
      <c r="E107" s="4"/>
      <c r="F107" s="4"/>
    </row>
    <row r="108" ht="15.75" customHeight="1">
      <c r="A108" s="4"/>
      <c r="B108" s="4"/>
      <c r="C108" s="4"/>
      <c r="D108" s="4"/>
      <c r="E108" s="4"/>
      <c r="F108" s="4"/>
    </row>
    <row r="109" ht="15.75" customHeight="1">
      <c r="A109" s="4"/>
      <c r="B109" s="4"/>
      <c r="C109" s="4"/>
      <c r="D109" s="4"/>
      <c r="E109" s="4"/>
      <c r="F109" s="4"/>
    </row>
    <row r="110" ht="15.75" customHeight="1">
      <c r="A110" s="4"/>
      <c r="B110" s="4"/>
      <c r="C110" s="4"/>
      <c r="D110" s="4"/>
      <c r="E110" s="4"/>
      <c r="F110" s="4"/>
    </row>
    <row r="111" ht="15.75" customHeight="1">
      <c r="A111" s="4"/>
      <c r="B111" s="4"/>
      <c r="C111" s="4"/>
      <c r="D111" s="4"/>
      <c r="E111" s="4"/>
      <c r="F111" s="4"/>
    </row>
    <row r="112" ht="15.75" customHeight="1">
      <c r="A112" s="4"/>
      <c r="B112" s="4"/>
      <c r="C112" s="4"/>
      <c r="D112" s="4"/>
      <c r="E112" s="4"/>
      <c r="F112" s="4"/>
    </row>
    <row r="113" ht="15.75" customHeight="1">
      <c r="A113" s="4"/>
      <c r="B113" s="4"/>
      <c r="C113" s="4"/>
      <c r="D113" s="4"/>
      <c r="E113" s="4"/>
      <c r="F113" s="4"/>
    </row>
    <row r="114" ht="15.75" customHeight="1">
      <c r="A114" s="4"/>
      <c r="B114" s="4"/>
      <c r="C114" s="4"/>
      <c r="D114" s="4"/>
      <c r="E114" s="4"/>
      <c r="F114" s="4"/>
    </row>
    <row r="115" ht="15.75" customHeight="1">
      <c r="A115" s="4"/>
      <c r="B115" s="4"/>
      <c r="C115" s="4"/>
      <c r="D115" s="4"/>
      <c r="E115" s="4"/>
      <c r="F115" s="4"/>
    </row>
    <row r="116" ht="15.75" customHeight="1">
      <c r="A116" s="4"/>
      <c r="B116" s="4"/>
      <c r="C116" s="4"/>
      <c r="D116" s="4"/>
      <c r="E116" s="4"/>
      <c r="F116" s="4"/>
    </row>
    <row r="117" ht="15.75" customHeight="1">
      <c r="A117" s="4"/>
      <c r="B117" s="4"/>
      <c r="C117" s="4"/>
      <c r="D117" s="4"/>
      <c r="E117" s="4"/>
      <c r="F117" s="4"/>
    </row>
    <row r="118" ht="15.75" customHeight="1">
      <c r="A118" s="4"/>
      <c r="B118" s="4"/>
      <c r="C118" s="4"/>
      <c r="D118" s="4"/>
      <c r="E118" s="4"/>
      <c r="F118" s="4"/>
    </row>
    <row r="119" ht="15.75" customHeight="1">
      <c r="A119" s="4"/>
      <c r="B119" s="4"/>
      <c r="C119" s="4"/>
      <c r="D119" s="4"/>
      <c r="E119" s="4"/>
      <c r="F119" s="4"/>
    </row>
    <row r="120" ht="15.75" customHeight="1">
      <c r="A120" s="4"/>
      <c r="B120" s="4"/>
      <c r="C120" s="4"/>
      <c r="D120" s="4"/>
      <c r="E120" s="4"/>
      <c r="F120" s="4"/>
    </row>
    <row r="121" ht="15.75" customHeight="1">
      <c r="A121" s="4"/>
      <c r="B121" s="4"/>
      <c r="C121" s="4"/>
      <c r="D121" s="4"/>
      <c r="E121" s="4"/>
      <c r="F121" s="4"/>
    </row>
    <row r="122" ht="15.75" customHeight="1">
      <c r="A122" s="4"/>
      <c r="B122" s="4"/>
      <c r="C122" s="4"/>
      <c r="D122" s="4"/>
      <c r="E122" s="4"/>
      <c r="F122" s="4"/>
    </row>
    <row r="123" ht="15.75" customHeight="1">
      <c r="A123" s="4"/>
      <c r="B123" s="4"/>
      <c r="C123" s="4"/>
      <c r="D123" s="4"/>
      <c r="E123" s="4"/>
      <c r="F123" s="4"/>
    </row>
    <row r="124" ht="15.75" customHeight="1">
      <c r="A124" s="4"/>
      <c r="B124" s="4"/>
      <c r="C124" s="4"/>
      <c r="D124" s="4"/>
      <c r="E124" s="4"/>
      <c r="F124" s="4"/>
    </row>
    <row r="125" ht="15.75" customHeight="1">
      <c r="A125" s="4"/>
      <c r="B125" s="4"/>
      <c r="C125" s="4"/>
      <c r="D125" s="4"/>
      <c r="E125" s="4"/>
      <c r="F125" s="4"/>
    </row>
    <row r="126" ht="15.75" customHeight="1">
      <c r="A126" s="4"/>
      <c r="B126" s="4"/>
      <c r="C126" s="4"/>
      <c r="D126" s="4"/>
      <c r="E126" s="4"/>
      <c r="F126" s="4"/>
    </row>
    <row r="127" ht="15.75" customHeight="1">
      <c r="A127" s="4"/>
      <c r="B127" s="4"/>
      <c r="C127" s="4"/>
      <c r="D127" s="4"/>
      <c r="E127" s="4"/>
      <c r="F127" s="4"/>
    </row>
    <row r="128" ht="15.75" customHeight="1">
      <c r="A128" s="4"/>
      <c r="B128" s="4"/>
      <c r="C128" s="4"/>
      <c r="D128" s="4"/>
      <c r="E128" s="4"/>
      <c r="F128" s="4"/>
    </row>
    <row r="129" ht="15.75" customHeight="1">
      <c r="A129" s="4"/>
      <c r="B129" s="4"/>
      <c r="C129" s="4"/>
      <c r="D129" s="4"/>
      <c r="E129" s="4"/>
      <c r="F129" s="4"/>
    </row>
    <row r="130" ht="15.75" customHeight="1">
      <c r="A130" s="4"/>
      <c r="B130" s="4"/>
      <c r="C130" s="4"/>
      <c r="D130" s="4"/>
      <c r="E130" s="4"/>
      <c r="F130" s="4"/>
    </row>
    <row r="131" ht="15.75" customHeight="1">
      <c r="A131" s="4"/>
      <c r="B131" s="4"/>
      <c r="C131" s="4"/>
      <c r="D131" s="4"/>
      <c r="E131" s="4"/>
      <c r="F131" s="4"/>
    </row>
    <row r="132" ht="15.75" customHeight="1">
      <c r="A132" s="4"/>
      <c r="B132" s="4"/>
      <c r="C132" s="4"/>
      <c r="D132" s="4"/>
      <c r="E132" s="4"/>
      <c r="F132" s="4"/>
    </row>
    <row r="133" ht="15.75" customHeight="1">
      <c r="A133" s="4"/>
      <c r="B133" s="4"/>
      <c r="C133" s="4"/>
      <c r="D133" s="4"/>
      <c r="E133" s="4"/>
      <c r="F133" s="4"/>
    </row>
    <row r="134" ht="15.75" customHeight="1">
      <c r="A134" s="4"/>
      <c r="B134" s="4"/>
      <c r="C134" s="4"/>
      <c r="D134" s="4"/>
      <c r="E134" s="4"/>
      <c r="F134" s="4"/>
    </row>
    <row r="135" ht="15.75" customHeight="1">
      <c r="A135" s="4"/>
      <c r="B135" s="4"/>
      <c r="C135" s="4"/>
      <c r="D135" s="4"/>
      <c r="E135" s="4"/>
      <c r="F135" s="4"/>
    </row>
    <row r="136" ht="15.75" customHeight="1">
      <c r="A136" s="4"/>
      <c r="B136" s="4"/>
      <c r="C136" s="4"/>
      <c r="D136" s="4"/>
      <c r="E136" s="4"/>
      <c r="F136" s="4"/>
    </row>
    <row r="137" ht="15.75" customHeight="1">
      <c r="A137" s="4"/>
      <c r="B137" s="4"/>
      <c r="C137" s="4"/>
      <c r="D137" s="4"/>
      <c r="E137" s="4"/>
      <c r="F137" s="4"/>
    </row>
    <row r="138" ht="15.75" customHeight="1">
      <c r="A138" s="4"/>
      <c r="B138" s="4"/>
      <c r="C138" s="4"/>
      <c r="D138" s="4"/>
      <c r="E138" s="4"/>
      <c r="F138" s="4"/>
    </row>
    <row r="139" ht="15.75" customHeight="1">
      <c r="A139" s="4"/>
      <c r="B139" s="4"/>
      <c r="C139" s="4"/>
      <c r="D139" s="4"/>
      <c r="E139" s="4"/>
      <c r="F139" s="4"/>
    </row>
    <row r="140" ht="15.75" customHeight="1">
      <c r="A140" s="4"/>
      <c r="B140" s="4"/>
      <c r="C140" s="4"/>
      <c r="D140" s="4"/>
      <c r="E140" s="4"/>
      <c r="F140" s="4"/>
    </row>
    <row r="141" ht="15.75" customHeight="1">
      <c r="A141" s="4"/>
      <c r="B141" s="4"/>
      <c r="C141" s="4"/>
      <c r="D141" s="4"/>
      <c r="E141" s="4"/>
      <c r="F141" s="4"/>
    </row>
    <row r="142" ht="15.75" customHeight="1">
      <c r="A142" s="4"/>
      <c r="B142" s="4"/>
      <c r="C142" s="4"/>
      <c r="D142" s="4"/>
      <c r="E142" s="4"/>
      <c r="F142" s="4"/>
    </row>
    <row r="143" ht="15.75" customHeight="1">
      <c r="A143" s="4"/>
      <c r="B143" s="4"/>
      <c r="C143" s="4"/>
      <c r="D143" s="4"/>
      <c r="E143" s="4"/>
      <c r="F143" s="4"/>
    </row>
    <row r="144" ht="15.75" customHeight="1">
      <c r="A144" s="4"/>
      <c r="B144" s="4"/>
      <c r="C144" s="4"/>
      <c r="D144" s="4"/>
      <c r="E144" s="4"/>
      <c r="F144" s="4"/>
    </row>
    <row r="145" ht="15.75" customHeight="1">
      <c r="A145" s="4"/>
      <c r="B145" s="4"/>
      <c r="C145" s="4"/>
      <c r="D145" s="4"/>
      <c r="E145" s="4"/>
      <c r="F145" s="4"/>
    </row>
    <row r="146" ht="15.75" customHeight="1">
      <c r="A146" s="4"/>
      <c r="B146" s="4"/>
      <c r="C146" s="4"/>
      <c r="D146" s="4"/>
      <c r="E146" s="4"/>
      <c r="F146" s="4"/>
    </row>
    <row r="147" ht="15.75" customHeight="1">
      <c r="A147" s="4"/>
      <c r="B147" s="4"/>
      <c r="C147" s="4"/>
      <c r="D147" s="4"/>
      <c r="E147" s="4"/>
      <c r="F147" s="4"/>
    </row>
    <row r="148" ht="15.75" customHeight="1">
      <c r="A148" s="4"/>
      <c r="B148" s="4"/>
      <c r="C148" s="4"/>
      <c r="D148" s="4"/>
      <c r="E148" s="4"/>
      <c r="F148" s="4"/>
    </row>
    <row r="149" ht="15.75" customHeight="1">
      <c r="A149" s="4"/>
      <c r="B149" s="4"/>
      <c r="C149" s="4"/>
      <c r="D149" s="4"/>
      <c r="E149" s="4"/>
      <c r="F149" s="4"/>
    </row>
    <row r="150" ht="15.75" customHeight="1">
      <c r="A150" s="4"/>
      <c r="B150" s="4"/>
      <c r="C150" s="4"/>
      <c r="D150" s="4"/>
      <c r="E150" s="4"/>
      <c r="F150" s="4"/>
    </row>
    <row r="151" ht="15.75" customHeight="1">
      <c r="A151" s="4"/>
      <c r="B151" s="4"/>
      <c r="C151" s="4"/>
      <c r="D151" s="4"/>
      <c r="E151" s="4"/>
      <c r="F151" s="4"/>
    </row>
    <row r="152" ht="15.75" customHeight="1">
      <c r="A152" s="4"/>
      <c r="B152" s="4"/>
      <c r="C152" s="4"/>
      <c r="D152" s="4"/>
      <c r="E152" s="4"/>
      <c r="F152" s="4"/>
    </row>
    <row r="153" ht="15.75" customHeight="1">
      <c r="A153" s="4"/>
      <c r="B153" s="4"/>
      <c r="C153" s="4"/>
      <c r="D153" s="4"/>
      <c r="E153" s="4"/>
      <c r="F153" s="4"/>
    </row>
    <row r="154" ht="15.75" customHeight="1">
      <c r="A154" s="4"/>
      <c r="B154" s="4"/>
      <c r="C154" s="4"/>
      <c r="D154" s="4"/>
      <c r="E154" s="4"/>
      <c r="F154" s="4"/>
    </row>
    <row r="155" ht="15.75" customHeight="1">
      <c r="A155" s="4"/>
      <c r="B155" s="4"/>
      <c r="C155" s="4"/>
      <c r="D155" s="4"/>
      <c r="E155" s="4"/>
      <c r="F155" s="4"/>
    </row>
    <row r="156" ht="15.75" customHeight="1">
      <c r="A156" s="4"/>
      <c r="B156" s="4"/>
      <c r="C156" s="4"/>
      <c r="D156" s="4"/>
      <c r="E156" s="4"/>
      <c r="F156" s="4"/>
    </row>
    <row r="157" ht="15.75" customHeight="1">
      <c r="A157" s="4"/>
      <c r="B157" s="4"/>
      <c r="C157" s="4"/>
      <c r="D157" s="4"/>
      <c r="E157" s="4"/>
      <c r="F157" s="4"/>
    </row>
    <row r="158" ht="15.75" customHeight="1">
      <c r="A158" s="4"/>
      <c r="B158" s="4"/>
      <c r="C158" s="4"/>
      <c r="D158" s="4"/>
      <c r="E158" s="4"/>
      <c r="F158" s="4"/>
    </row>
    <row r="159" ht="15.75" customHeight="1">
      <c r="A159" s="4"/>
      <c r="B159" s="4"/>
      <c r="C159" s="4"/>
      <c r="D159" s="4"/>
      <c r="E159" s="4"/>
      <c r="F159" s="4"/>
    </row>
    <row r="160" ht="15.75" customHeight="1">
      <c r="A160" s="4"/>
      <c r="B160" s="4"/>
      <c r="C160" s="4"/>
      <c r="D160" s="4"/>
      <c r="E160" s="4"/>
      <c r="F160" s="4"/>
    </row>
    <row r="161" ht="15.75" customHeight="1">
      <c r="A161" s="4"/>
      <c r="B161" s="4"/>
      <c r="C161" s="4"/>
      <c r="D161" s="4"/>
      <c r="E161" s="4"/>
      <c r="F161" s="4"/>
    </row>
    <row r="162" ht="15.75" customHeight="1">
      <c r="A162" s="4"/>
      <c r="B162" s="4"/>
      <c r="C162" s="4"/>
      <c r="D162" s="4"/>
      <c r="E162" s="4"/>
      <c r="F162" s="4"/>
    </row>
    <row r="163" ht="15.75" customHeight="1">
      <c r="A163" s="4"/>
      <c r="B163" s="4"/>
      <c r="C163" s="4"/>
      <c r="D163" s="4"/>
      <c r="E163" s="4"/>
      <c r="F163" s="4"/>
    </row>
    <row r="164" ht="15.75" customHeight="1">
      <c r="A164" s="4"/>
      <c r="B164" s="4"/>
      <c r="C164" s="4"/>
      <c r="D164" s="4"/>
      <c r="E164" s="4"/>
      <c r="F164" s="4"/>
    </row>
    <row r="165" ht="15.75" customHeight="1">
      <c r="A165" s="4"/>
      <c r="B165" s="4"/>
      <c r="C165" s="4"/>
      <c r="D165" s="4"/>
      <c r="E165" s="4"/>
      <c r="F165" s="4"/>
    </row>
    <row r="166" ht="15.75" customHeight="1">
      <c r="A166" s="4"/>
      <c r="B166" s="4"/>
      <c r="C166" s="4"/>
      <c r="D166" s="4"/>
      <c r="E166" s="4"/>
      <c r="F166" s="4"/>
    </row>
    <row r="167" ht="15.75" customHeight="1">
      <c r="A167" s="4"/>
      <c r="B167" s="4"/>
      <c r="C167" s="4"/>
      <c r="D167" s="4"/>
      <c r="E167" s="4"/>
      <c r="F167" s="4"/>
    </row>
    <row r="168" ht="15.75" customHeight="1">
      <c r="A168" s="4"/>
      <c r="B168" s="4"/>
      <c r="C168" s="4"/>
      <c r="D168" s="4"/>
      <c r="E168" s="4"/>
      <c r="F168" s="4"/>
    </row>
    <row r="169" ht="15.75" customHeight="1">
      <c r="A169" s="4"/>
      <c r="B169" s="4"/>
      <c r="C169" s="4"/>
      <c r="D169" s="4"/>
      <c r="E169" s="4"/>
      <c r="F169" s="4"/>
    </row>
    <row r="170" ht="15.75" customHeight="1">
      <c r="A170" s="4"/>
      <c r="B170" s="4"/>
      <c r="C170" s="4"/>
      <c r="D170" s="4"/>
      <c r="E170" s="4"/>
      <c r="F170" s="4"/>
    </row>
    <row r="171" ht="15.75" customHeight="1">
      <c r="A171" s="4"/>
      <c r="B171" s="4"/>
      <c r="C171" s="4"/>
      <c r="D171" s="4"/>
      <c r="E171" s="4"/>
      <c r="F171" s="4"/>
    </row>
    <row r="172" ht="15.75" customHeight="1">
      <c r="A172" s="4"/>
      <c r="B172" s="4"/>
      <c r="C172" s="4"/>
      <c r="D172" s="4"/>
      <c r="E172" s="4"/>
      <c r="F172" s="4"/>
    </row>
    <row r="173" ht="15.75" customHeight="1">
      <c r="A173" s="4"/>
      <c r="B173" s="4"/>
      <c r="C173" s="4"/>
      <c r="D173" s="4"/>
      <c r="E173" s="4"/>
      <c r="F173" s="4"/>
    </row>
    <row r="174" ht="15.75" customHeight="1">
      <c r="A174" s="4"/>
      <c r="B174" s="4"/>
      <c r="C174" s="4"/>
      <c r="D174" s="4"/>
      <c r="E174" s="4"/>
      <c r="F174" s="4"/>
    </row>
    <row r="175" ht="15.75" customHeight="1">
      <c r="A175" s="4"/>
      <c r="B175" s="4"/>
      <c r="C175" s="4"/>
      <c r="D175" s="4"/>
      <c r="E175" s="4"/>
      <c r="F175" s="4"/>
    </row>
    <row r="176" ht="15.75" customHeight="1">
      <c r="A176" s="4"/>
      <c r="B176" s="4"/>
      <c r="C176" s="4"/>
      <c r="D176" s="4"/>
      <c r="E176" s="4"/>
      <c r="F176" s="4"/>
    </row>
    <row r="177" ht="15.75" customHeight="1">
      <c r="A177" s="4"/>
      <c r="B177" s="4"/>
      <c r="C177" s="4"/>
      <c r="D177" s="4"/>
      <c r="E177" s="4"/>
      <c r="F177" s="4"/>
    </row>
    <row r="178" ht="15.75" customHeight="1">
      <c r="A178" s="4"/>
      <c r="B178" s="4"/>
      <c r="C178" s="4"/>
      <c r="D178" s="4"/>
      <c r="E178" s="4"/>
      <c r="F178" s="4"/>
    </row>
    <row r="179" ht="15.75" customHeight="1">
      <c r="A179" s="4"/>
      <c r="B179" s="4"/>
      <c r="C179" s="4"/>
      <c r="D179" s="4"/>
      <c r="E179" s="4"/>
      <c r="F179" s="4"/>
    </row>
    <row r="180" ht="15.75" customHeight="1">
      <c r="A180" s="4"/>
      <c r="B180" s="4"/>
      <c r="C180" s="4"/>
      <c r="D180" s="4"/>
      <c r="E180" s="4"/>
      <c r="F180" s="4"/>
    </row>
    <row r="181" ht="15.75" customHeight="1">
      <c r="A181" s="4"/>
      <c r="B181" s="4"/>
      <c r="C181" s="4"/>
      <c r="D181" s="4"/>
      <c r="E181" s="4"/>
      <c r="F181" s="4"/>
    </row>
    <row r="182" ht="15.75" customHeight="1">
      <c r="A182" s="4"/>
      <c r="B182" s="4"/>
      <c r="C182" s="4"/>
      <c r="D182" s="4"/>
      <c r="E182" s="4"/>
      <c r="F182" s="4"/>
    </row>
    <row r="183" ht="15.75" customHeight="1">
      <c r="A183" s="4"/>
      <c r="B183" s="4"/>
      <c r="C183" s="4"/>
      <c r="D183" s="4"/>
      <c r="E183" s="4"/>
      <c r="F183" s="4"/>
    </row>
    <row r="184" ht="15.75" customHeight="1">
      <c r="A184" s="4"/>
      <c r="B184" s="4"/>
      <c r="C184" s="4"/>
      <c r="D184" s="4"/>
      <c r="E184" s="4"/>
      <c r="F184" s="4"/>
    </row>
    <row r="185" ht="15.75" customHeight="1">
      <c r="A185" s="4"/>
      <c r="B185" s="4"/>
      <c r="C185" s="4"/>
      <c r="D185" s="4"/>
      <c r="E185" s="4"/>
      <c r="F185" s="4"/>
    </row>
    <row r="186" ht="15.75" customHeight="1">
      <c r="A186" s="4"/>
      <c r="B186" s="4"/>
      <c r="C186" s="4"/>
      <c r="D186" s="4"/>
      <c r="E186" s="4"/>
      <c r="F186" s="4"/>
    </row>
    <row r="187" ht="15.75" customHeight="1">
      <c r="A187" s="4"/>
      <c r="B187" s="4"/>
      <c r="C187" s="4"/>
      <c r="D187" s="4"/>
      <c r="E187" s="4"/>
      <c r="F187" s="4"/>
    </row>
    <row r="188" ht="15.75" customHeight="1">
      <c r="A188" s="4"/>
      <c r="B188" s="4"/>
      <c r="C188" s="4"/>
      <c r="D188" s="4"/>
      <c r="E188" s="4"/>
      <c r="F188" s="4"/>
    </row>
    <row r="189" ht="15.75" customHeight="1">
      <c r="A189" s="4"/>
      <c r="B189" s="4"/>
      <c r="C189" s="4"/>
      <c r="D189" s="4"/>
      <c r="E189" s="4"/>
      <c r="F189" s="4"/>
    </row>
    <row r="190" ht="15.75" customHeight="1">
      <c r="A190" s="4"/>
      <c r="B190" s="4"/>
      <c r="C190" s="4"/>
      <c r="D190" s="4"/>
      <c r="E190" s="4"/>
      <c r="F190" s="4"/>
    </row>
    <row r="191" ht="15.75" customHeight="1">
      <c r="A191" s="4"/>
      <c r="B191" s="4"/>
      <c r="C191" s="4"/>
      <c r="D191" s="4"/>
      <c r="E191" s="4"/>
      <c r="F191" s="4"/>
    </row>
    <row r="192" ht="15.75" customHeight="1">
      <c r="A192" s="4"/>
      <c r="B192" s="4"/>
      <c r="C192" s="4"/>
      <c r="D192" s="4"/>
      <c r="E192" s="4"/>
      <c r="F192" s="4"/>
    </row>
    <row r="193" ht="15.75" customHeight="1">
      <c r="A193" s="4"/>
      <c r="B193" s="4"/>
      <c r="C193" s="4"/>
      <c r="D193" s="4"/>
      <c r="E193" s="4"/>
      <c r="F193" s="4"/>
    </row>
    <row r="194" ht="15.75" customHeight="1">
      <c r="A194" s="4"/>
      <c r="B194" s="4"/>
      <c r="C194" s="4"/>
      <c r="D194" s="4"/>
      <c r="E194" s="4"/>
      <c r="F194" s="4"/>
    </row>
    <row r="195" ht="15.75" customHeight="1">
      <c r="A195" s="4"/>
      <c r="B195" s="4"/>
      <c r="C195" s="4"/>
      <c r="D195" s="4"/>
      <c r="E195" s="4"/>
      <c r="F195" s="4"/>
    </row>
    <row r="196" ht="15.75" customHeight="1">
      <c r="A196" s="4"/>
      <c r="B196" s="4"/>
      <c r="C196" s="4"/>
      <c r="D196" s="4"/>
      <c r="E196" s="4"/>
      <c r="F196" s="4"/>
    </row>
    <row r="197" ht="15.75" customHeight="1">
      <c r="A197" s="4"/>
      <c r="B197" s="4"/>
      <c r="C197" s="4"/>
      <c r="D197" s="4"/>
      <c r="E197" s="4"/>
      <c r="F197" s="4"/>
    </row>
    <row r="198" ht="15.75" customHeight="1">
      <c r="A198" s="4"/>
      <c r="B198" s="4"/>
      <c r="C198" s="4"/>
      <c r="D198" s="4"/>
      <c r="E198" s="4"/>
      <c r="F198" s="4"/>
    </row>
    <row r="199" ht="15.75" customHeight="1">
      <c r="A199" s="4"/>
      <c r="B199" s="4"/>
      <c r="C199" s="4"/>
      <c r="D199" s="4"/>
      <c r="E199" s="4"/>
      <c r="F199" s="4"/>
    </row>
    <row r="200" ht="15.75" customHeight="1">
      <c r="A200" s="4"/>
      <c r="B200" s="4"/>
      <c r="C200" s="4"/>
      <c r="D200" s="4"/>
      <c r="E200" s="4"/>
      <c r="F200" s="4"/>
    </row>
    <row r="201" ht="15.75" customHeight="1">
      <c r="A201" s="4"/>
      <c r="B201" s="4"/>
      <c r="C201" s="4"/>
      <c r="D201" s="4"/>
      <c r="E201" s="4"/>
      <c r="F201" s="4"/>
    </row>
    <row r="202" ht="15.75" customHeight="1">
      <c r="A202" s="4"/>
      <c r="B202" s="4"/>
      <c r="C202" s="4"/>
      <c r="D202" s="4"/>
      <c r="E202" s="4"/>
      <c r="F202" s="4"/>
    </row>
    <row r="203" ht="15.75" customHeight="1">
      <c r="A203" s="4"/>
      <c r="B203" s="4"/>
      <c r="C203" s="4"/>
      <c r="D203" s="4"/>
      <c r="E203" s="4"/>
      <c r="F203" s="4"/>
    </row>
    <row r="204" ht="15.75" customHeight="1">
      <c r="A204" s="4"/>
      <c r="B204" s="4"/>
      <c r="C204" s="4"/>
      <c r="D204" s="4"/>
      <c r="E204" s="4"/>
      <c r="F204" s="4"/>
    </row>
    <row r="205" ht="15.75" customHeight="1">
      <c r="A205" s="4"/>
      <c r="B205" s="4"/>
      <c r="C205" s="4"/>
      <c r="D205" s="4"/>
      <c r="E205" s="4"/>
      <c r="F205" s="4"/>
    </row>
    <row r="206" ht="15.75" customHeight="1">
      <c r="A206" s="4"/>
      <c r="B206" s="4"/>
      <c r="C206" s="4"/>
      <c r="D206" s="4"/>
      <c r="E206" s="4"/>
      <c r="F206" s="4"/>
    </row>
    <row r="207" ht="15.75" customHeight="1">
      <c r="A207" s="4"/>
      <c r="B207" s="4"/>
      <c r="C207" s="4"/>
      <c r="D207" s="4"/>
      <c r="E207" s="4"/>
      <c r="F207" s="4"/>
    </row>
    <row r="208" ht="15.75" customHeight="1">
      <c r="A208" s="4"/>
      <c r="B208" s="4"/>
      <c r="C208" s="4"/>
      <c r="D208" s="4"/>
      <c r="E208" s="4"/>
      <c r="F208" s="4"/>
    </row>
    <row r="209" ht="15.75" customHeight="1">
      <c r="A209" s="4"/>
      <c r="B209" s="4"/>
      <c r="C209" s="4"/>
      <c r="D209" s="4"/>
      <c r="E209" s="4"/>
      <c r="F209" s="4"/>
    </row>
    <row r="210" ht="15.75" customHeight="1">
      <c r="A210" s="4"/>
      <c r="B210" s="4"/>
      <c r="C210" s="4"/>
      <c r="D210" s="4"/>
      <c r="E210" s="4"/>
      <c r="F210" s="4"/>
    </row>
    <row r="211" ht="15.75" customHeight="1">
      <c r="A211" s="4"/>
      <c r="B211" s="4"/>
      <c r="C211" s="4"/>
      <c r="D211" s="4"/>
      <c r="E211" s="4"/>
      <c r="F211" s="4"/>
    </row>
    <row r="212" ht="15.75" customHeight="1">
      <c r="A212" s="4"/>
      <c r="B212" s="4"/>
      <c r="C212" s="4"/>
      <c r="D212" s="4"/>
      <c r="E212" s="4"/>
      <c r="F212" s="4"/>
    </row>
    <row r="213" ht="15.75" customHeight="1">
      <c r="A213" s="4"/>
      <c r="B213" s="4"/>
      <c r="C213" s="4"/>
      <c r="D213" s="4"/>
      <c r="E213" s="4"/>
      <c r="F213" s="4"/>
    </row>
    <row r="214" ht="15.75" customHeight="1">
      <c r="A214" s="4"/>
      <c r="B214" s="4"/>
      <c r="C214" s="4"/>
      <c r="D214" s="4"/>
      <c r="E214" s="4"/>
      <c r="F214" s="4"/>
    </row>
    <row r="215" ht="15.75" customHeight="1">
      <c r="A215" s="4"/>
      <c r="B215" s="4"/>
      <c r="C215" s="4"/>
      <c r="D215" s="4"/>
      <c r="E215" s="4"/>
      <c r="F215" s="4"/>
    </row>
    <row r="216" ht="15.75" customHeight="1">
      <c r="A216" s="4"/>
      <c r="B216" s="4"/>
      <c r="C216" s="4"/>
      <c r="D216" s="4"/>
      <c r="E216" s="4"/>
      <c r="F216" s="4"/>
    </row>
    <row r="217" ht="15.75" customHeight="1">
      <c r="A217" s="4"/>
      <c r="B217" s="4"/>
      <c r="C217" s="4"/>
      <c r="D217" s="4"/>
      <c r="E217" s="4"/>
      <c r="F217" s="4"/>
    </row>
    <row r="218" ht="15.75" customHeight="1">
      <c r="A218" s="4"/>
      <c r="B218" s="4"/>
      <c r="C218" s="4"/>
      <c r="D218" s="4"/>
      <c r="E218" s="4"/>
      <c r="F218" s="4"/>
    </row>
    <row r="219" ht="15.75" customHeight="1">
      <c r="A219" s="4"/>
      <c r="B219" s="4"/>
      <c r="C219" s="4"/>
      <c r="D219" s="4"/>
      <c r="E219" s="4"/>
      <c r="F219" s="4"/>
    </row>
    <row r="220" ht="15.75" customHeight="1">
      <c r="A220" s="4"/>
      <c r="B220" s="4"/>
      <c r="C220" s="4"/>
      <c r="D220" s="4"/>
      <c r="E220" s="4"/>
      <c r="F220" s="4"/>
    </row>
    <row r="221" ht="15.75" customHeight="1">
      <c r="A221" s="4"/>
      <c r="B221" s="4"/>
      <c r="C221" s="4"/>
      <c r="D221" s="4"/>
      <c r="E221" s="4"/>
      <c r="F221" s="4"/>
    </row>
    <row r="222" ht="15.75" customHeight="1">
      <c r="A222" s="4"/>
      <c r="B222" s="4"/>
      <c r="C222" s="4"/>
      <c r="D222" s="4"/>
      <c r="E222" s="4"/>
      <c r="F222" s="4"/>
    </row>
    <row r="223" ht="15.75" customHeight="1">
      <c r="A223" s="4"/>
      <c r="B223" s="4"/>
      <c r="C223" s="4"/>
      <c r="D223" s="4"/>
      <c r="E223" s="4"/>
      <c r="F223" s="4"/>
    </row>
    <row r="224" ht="15.75" customHeight="1">
      <c r="A224" s="4"/>
      <c r="B224" s="4"/>
      <c r="C224" s="4"/>
      <c r="D224" s="4"/>
      <c r="E224" s="4"/>
      <c r="F224" s="4"/>
    </row>
    <row r="225" ht="15.75" customHeight="1">
      <c r="A225" s="4"/>
      <c r="B225" s="4"/>
      <c r="C225" s="4"/>
      <c r="D225" s="4"/>
      <c r="E225" s="4"/>
      <c r="F225" s="4"/>
    </row>
    <row r="226" ht="15.75" customHeight="1">
      <c r="A226" s="4"/>
      <c r="B226" s="4"/>
      <c r="C226" s="4"/>
      <c r="D226" s="4"/>
      <c r="E226" s="4"/>
      <c r="F226" s="4"/>
    </row>
    <row r="227" ht="15.75" customHeight="1">
      <c r="A227" s="4"/>
      <c r="B227" s="4"/>
      <c r="C227" s="4"/>
      <c r="D227" s="4"/>
      <c r="E227" s="4"/>
      <c r="F227" s="4"/>
    </row>
    <row r="228" ht="15.75" customHeight="1">
      <c r="A228" s="4"/>
      <c r="B228" s="4"/>
      <c r="C228" s="4"/>
      <c r="D228" s="4"/>
      <c r="E228" s="4"/>
      <c r="F228" s="4"/>
    </row>
    <row r="229" ht="15.75" customHeight="1">
      <c r="A229" s="4"/>
      <c r="B229" s="4"/>
      <c r="C229" s="4"/>
      <c r="D229" s="4"/>
      <c r="E229" s="4"/>
      <c r="F229" s="4"/>
    </row>
    <row r="230" ht="15.75" customHeight="1">
      <c r="A230" s="4"/>
      <c r="B230" s="4"/>
      <c r="C230" s="4"/>
      <c r="D230" s="4"/>
      <c r="E230" s="4"/>
      <c r="F230" s="4"/>
    </row>
    <row r="231" ht="15.75" customHeight="1">
      <c r="A231" s="4"/>
      <c r="B231" s="4"/>
      <c r="C231" s="4"/>
      <c r="D231" s="4"/>
      <c r="E231" s="4"/>
      <c r="F231" s="4"/>
    </row>
    <row r="232" ht="15.75" customHeight="1">
      <c r="A232" s="4"/>
      <c r="B232" s="4"/>
      <c r="C232" s="4"/>
      <c r="D232" s="4"/>
      <c r="E232" s="4"/>
      <c r="F232" s="4"/>
    </row>
    <row r="233" ht="15.75" customHeight="1">
      <c r="A233" s="4"/>
      <c r="B233" s="4"/>
      <c r="C233" s="4"/>
      <c r="D233" s="4"/>
      <c r="E233" s="4"/>
      <c r="F233" s="4"/>
    </row>
    <row r="234" ht="15.75" customHeight="1">
      <c r="A234" s="4"/>
      <c r="B234" s="4"/>
      <c r="C234" s="4"/>
      <c r="D234" s="4"/>
      <c r="E234" s="4"/>
      <c r="F234" s="4"/>
    </row>
    <row r="235" ht="15.75" customHeight="1">
      <c r="A235" s="4"/>
      <c r="B235" s="4"/>
      <c r="C235" s="4"/>
      <c r="D235" s="4"/>
      <c r="E235" s="4"/>
      <c r="F235" s="4"/>
    </row>
    <row r="236" ht="15.75" customHeight="1">
      <c r="A236" s="4"/>
      <c r="B236" s="4"/>
      <c r="C236" s="4"/>
      <c r="D236" s="4"/>
      <c r="E236" s="4"/>
      <c r="F236" s="4"/>
    </row>
    <row r="237" ht="15.75" customHeight="1">
      <c r="A237" s="4"/>
      <c r="B237" s="4"/>
      <c r="C237" s="4"/>
      <c r="D237" s="4"/>
      <c r="E237" s="4"/>
      <c r="F237" s="4"/>
    </row>
    <row r="238" ht="15.75" customHeight="1">
      <c r="A238" s="4"/>
      <c r="B238" s="4"/>
      <c r="C238" s="4"/>
      <c r="D238" s="4"/>
      <c r="E238" s="4"/>
      <c r="F238" s="4"/>
    </row>
    <row r="239" ht="15.75" customHeight="1">
      <c r="A239" s="4"/>
      <c r="B239" s="4"/>
      <c r="C239" s="4"/>
      <c r="D239" s="4"/>
      <c r="E239" s="4"/>
      <c r="F239" s="4"/>
    </row>
    <row r="240" ht="15.75" customHeight="1">
      <c r="A240" s="4"/>
      <c r="B240" s="4"/>
      <c r="C240" s="4"/>
      <c r="D240" s="4"/>
      <c r="E240" s="4"/>
      <c r="F240" s="4"/>
    </row>
    <row r="241" ht="15.75" customHeight="1">
      <c r="A241" s="4"/>
      <c r="B241" s="4"/>
      <c r="C241" s="4"/>
      <c r="D241" s="4"/>
      <c r="E241" s="4"/>
      <c r="F241" s="4"/>
    </row>
    <row r="242" ht="15.75" customHeight="1">
      <c r="A242" s="4"/>
      <c r="B242" s="4"/>
      <c r="C242" s="4"/>
      <c r="D242" s="4"/>
      <c r="E242" s="4"/>
      <c r="F242" s="4"/>
    </row>
    <row r="243" ht="15.75" customHeight="1">
      <c r="A243" s="4"/>
      <c r="B243" s="4"/>
      <c r="C243" s="4"/>
      <c r="D243" s="4"/>
      <c r="E243" s="4"/>
      <c r="F243" s="4"/>
    </row>
    <row r="244" ht="15.75" customHeight="1">
      <c r="A244" s="4"/>
      <c r="B244" s="4"/>
      <c r="C244" s="4"/>
      <c r="D244" s="4"/>
      <c r="E244" s="4"/>
      <c r="F244" s="4"/>
    </row>
    <row r="245" ht="15.75" customHeight="1">
      <c r="A245" s="4"/>
      <c r="B245" s="4"/>
      <c r="C245" s="4"/>
      <c r="D245" s="4"/>
      <c r="E245" s="4"/>
      <c r="F245" s="4"/>
    </row>
    <row r="246" ht="15.75" customHeight="1">
      <c r="A246" s="4"/>
      <c r="B246" s="4"/>
      <c r="C246" s="4"/>
      <c r="D246" s="4"/>
      <c r="E246" s="4"/>
      <c r="F246" s="4"/>
    </row>
    <row r="247" ht="15.75" customHeight="1">
      <c r="A247" s="4"/>
      <c r="B247" s="4"/>
      <c r="C247" s="4"/>
      <c r="D247" s="4"/>
      <c r="E247" s="4"/>
      <c r="F247" s="4"/>
    </row>
    <row r="248" ht="15.75" customHeight="1">
      <c r="A248" s="4"/>
      <c r="B248" s="4"/>
      <c r="C248" s="4"/>
      <c r="D248" s="4"/>
      <c r="E248" s="4"/>
      <c r="F248" s="4"/>
    </row>
    <row r="249" ht="15.75" customHeight="1">
      <c r="A249" s="4"/>
      <c r="B249" s="4"/>
      <c r="C249" s="4"/>
      <c r="D249" s="4"/>
      <c r="E249" s="4"/>
      <c r="F249" s="4"/>
    </row>
    <row r="250" ht="15.75" customHeight="1">
      <c r="A250" s="4"/>
      <c r="B250" s="4"/>
      <c r="C250" s="4"/>
      <c r="D250" s="4"/>
      <c r="E250" s="4"/>
      <c r="F250" s="4"/>
    </row>
    <row r="251" ht="15.75" customHeight="1">
      <c r="A251" s="4"/>
      <c r="B251" s="4"/>
      <c r="C251" s="4"/>
      <c r="D251" s="4"/>
      <c r="E251" s="4"/>
      <c r="F251" s="4"/>
    </row>
    <row r="252" ht="15.75" customHeight="1">
      <c r="A252" s="4"/>
      <c r="B252" s="4"/>
      <c r="C252" s="4"/>
      <c r="D252" s="4"/>
      <c r="E252" s="4"/>
      <c r="F252" s="4"/>
    </row>
    <row r="253" ht="15.75" customHeight="1">
      <c r="A253" s="4"/>
      <c r="B253" s="4"/>
      <c r="C253" s="4"/>
      <c r="D253" s="4"/>
      <c r="E253" s="4"/>
      <c r="F253" s="4"/>
    </row>
    <row r="254" ht="15.75" customHeight="1">
      <c r="A254" s="4"/>
      <c r="B254" s="4"/>
      <c r="C254" s="4"/>
      <c r="D254" s="4"/>
      <c r="E254" s="4"/>
      <c r="F254" s="4"/>
    </row>
    <row r="255" ht="15.75" customHeight="1">
      <c r="A255" s="4"/>
      <c r="B255" s="4"/>
      <c r="C255" s="4"/>
      <c r="D255" s="4"/>
      <c r="E255" s="4"/>
      <c r="F255" s="4"/>
    </row>
    <row r="256" ht="15.75" customHeight="1">
      <c r="A256" s="4"/>
      <c r="B256" s="4"/>
      <c r="C256" s="4"/>
      <c r="D256" s="4"/>
      <c r="E256" s="4"/>
      <c r="F256" s="4"/>
    </row>
    <row r="257" ht="15.75" customHeight="1">
      <c r="A257" s="4"/>
      <c r="B257" s="4"/>
      <c r="C257" s="4"/>
      <c r="D257" s="4"/>
      <c r="E257" s="4"/>
      <c r="F257" s="4"/>
    </row>
    <row r="258" ht="15.75" customHeight="1">
      <c r="A258" s="4"/>
      <c r="B258" s="4"/>
      <c r="C258" s="4"/>
      <c r="D258" s="4"/>
      <c r="E258" s="4"/>
      <c r="F258" s="4"/>
    </row>
    <row r="259" ht="15.75" customHeight="1">
      <c r="A259" s="4"/>
      <c r="B259" s="4"/>
      <c r="C259" s="4"/>
      <c r="D259" s="4"/>
      <c r="E259" s="4"/>
      <c r="F259" s="4"/>
    </row>
    <row r="260" ht="15.75" customHeight="1">
      <c r="A260" s="4"/>
      <c r="B260" s="4"/>
      <c r="C260" s="4"/>
      <c r="D260" s="4"/>
      <c r="E260" s="4"/>
      <c r="F260" s="4"/>
    </row>
    <row r="261" ht="15.75" customHeight="1">
      <c r="A261" s="4"/>
      <c r="B261" s="4"/>
      <c r="C261" s="4"/>
      <c r="D261" s="4"/>
      <c r="E261" s="4"/>
      <c r="F261" s="4"/>
    </row>
    <row r="262" ht="15.75" customHeight="1">
      <c r="A262" s="4"/>
      <c r="B262" s="4"/>
      <c r="C262" s="4"/>
      <c r="D262" s="4"/>
      <c r="E262" s="4"/>
      <c r="F262" s="4"/>
    </row>
    <row r="263" ht="15.75" customHeight="1">
      <c r="A263" s="4"/>
      <c r="B263" s="4"/>
      <c r="C263" s="4"/>
      <c r="D263" s="4"/>
      <c r="E263" s="4"/>
      <c r="F263" s="4"/>
    </row>
    <row r="264" ht="15.75" customHeight="1">
      <c r="A264" s="4"/>
      <c r="B264" s="4"/>
      <c r="C264" s="4"/>
      <c r="D264" s="4"/>
      <c r="E264" s="4"/>
      <c r="F264" s="4"/>
    </row>
    <row r="265" ht="15.75" customHeight="1">
      <c r="A265" s="4"/>
      <c r="B265" s="4"/>
      <c r="C265" s="4"/>
      <c r="D265" s="4"/>
      <c r="E265" s="4"/>
      <c r="F265" s="4"/>
    </row>
    <row r="266" ht="15.75" customHeight="1">
      <c r="A266" s="4"/>
      <c r="B266" s="4"/>
      <c r="C266" s="4"/>
      <c r="D266" s="4"/>
      <c r="E266" s="4"/>
      <c r="F266" s="4"/>
    </row>
    <row r="267" ht="15.75" customHeight="1">
      <c r="A267" s="4"/>
      <c r="B267" s="4"/>
      <c r="C267" s="4"/>
      <c r="D267" s="4"/>
      <c r="E267" s="4"/>
      <c r="F267" s="4"/>
    </row>
    <row r="268" ht="15.75" customHeight="1">
      <c r="A268" s="4"/>
      <c r="B268" s="4"/>
      <c r="C268" s="4"/>
      <c r="D268" s="4"/>
      <c r="E268" s="4"/>
      <c r="F268" s="4"/>
    </row>
    <row r="269" ht="15.75" customHeight="1">
      <c r="A269" s="4"/>
      <c r="B269" s="4"/>
      <c r="C269" s="4"/>
      <c r="D269" s="4"/>
      <c r="E269" s="4"/>
      <c r="F269" s="4"/>
    </row>
    <row r="270" ht="15.75" customHeight="1">
      <c r="A270" s="4"/>
      <c r="B270" s="4"/>
      <c r="C270" s="4"/>
      <c r="D270" s="4"/>
      <c r="E270" s="4"/>
      <c r="F270" s="4"/>
    </row>
    <row r="271" ht="15.75" customHeight="1">
      <c r="A271" s="4"/>
      <c r="B271" s="4"/>
      <c r="C271" s="4"/>
      <c r="D271" s="4"/>
      <c r="E271" s="4"/>
      <c r="F271" s="4"/>
    </row>
    <row r="272" ht="15.75" customHeight="1">
      <c r="A272" s="4"/>
      <c r="B272" s="4"/>
      <c r="C272" s="4"/>
      <c r="D272" s="4"/>
      <c r="E272" s="4"/>
      <c r="F272" s="4"/>
    </row>
    <row r="273" ht="15.75" customHeight="1">
      <c r="A273" s="4"/>
      <c r="B273" s="4"/>
      <c r="C273" s="4"/>
      <c r="D273" s="4"/>
      <c r="E273" s="4"/>
      <c r="F273" s="4"/>
    </row>
    <row r="274" ht="15.75" customHeight="1">
      <c r="A274" s="4"/>
      <c r="B274" s="4"/>
      <c r="C274" s="4"/>
      <c r="D274" s="4"/>
      <c r="E274" s="4"/>
      <c r="F274" s="4"/>
    </row>
    <row r="275" ht="15.75" customHeight="1">
      <c r="A275" s="4"/>
      <c r="B275" s="4"/>
      <c r="C275" s="4"/>
      <c r="D275" s="4"/>
      <c r="E275" s="4"/>
      <c r="F275" s="4"/>
    </row>
    <row r="276" ht="15.75" customHeight="1">
      <c r="A276" s="4"/>
      <c r="B276" s="4"/>
      <c r="C276" s="4"/>
      <c r="D276" s="4"/>
      <c r="E276" s="4"/>
      <c r="F276" s="4"/>
    </row>
    <row r="277" ht="15.75" customHeight="1">
      <c r="A277" s="4"/>
      <c r="B277" s="4"/>
      <c r="C277" s="4"/>
      <c r="D277" s="4"/>
      <c r="E277" s="4"/>
      <c r="F277" s="4"/>
    </row>
    <row r="278" ht="15.75" customHeight="1">
      <c r="A278" s="4"/>
      <c r="B278" s="4"/>
      <c r="C278" s="4"/>
      <c r="D278" s="4"/>
      <c r="E278" s="4"/>
      <c r="F278" s="4"/>
    </row>
    <row r="279" ht="15.75" customHeight="1">
      <c r="A279" s="4"/>
      <c r="B279" s="4"/>
      <c r="C279" s="4"/>
      <c r="D279" s="4"/>
      <c r="E279" s="4"/>
      <c r="F279" s="4"/>
    </row>
    <row r="280" ht="15.75" customHeight="1">
      <c r="A280" s="4"/>
      <c r="B280" s="4"/>
      <c r="C280" s="4"/>
      <c r="D280" s="4"/>
      <c r="E280" s="4"/>
      <c r="F280" s="4"/>
    </row>
    <row r="281" ht="15.75" customHeight="1">
      <c r="A281" s="4"/>
      <c r="B281" s="4"/>
      <c r="C281" s="4"/>
      <c r="D281" s="4"/>
      <c r="E281" s="4"/>
      <c r="F281" s="4"/>
    </row>
    <row r="282" ht="15.75" customHeight="1">
      <c r="A282" s="4"/>
      <c r="B282" s="4"/>
      <c r="C282" s="4"/>
      <c r="D282" s="4"/>
      <c r="E282" s="4"/>
      <c r="F282" s="4"/>
    </row>
    <row r="283" ht="15.75" customHeight="1">
      <c r="A283" s="4"/>
      <c r="B283" s="4"/>
      <c r="C283" s="4"/>
      <c r="D283" s="4"/>
      <c r="E283" s="4"/>
      <c r="F283" s="4"/>
    </row>
    <row r="284" ht="15.75" customHeight="1">
      <c r="A284" s="4"/>
      <c r="B284" s="4"/>
      <c r="C284" s="4"/>
      <c r="D284" s="4"/>
      <c r="E284" s="4"/>
      <c r="F284" s="4"/>
    </row>
    <row r="285" ht="15.75" customHeight="1">
      <c r="A285" s="4"/>
      <c r="B285" s="4"/>
      <c r="C285" s="4"/>
      <c r="D285" s="4"/>
      <c r="E285" s="4"/>
      <c r="F285" s="4"/>
    </row>
    <row r="286" ht="15.75" customHeight="1">
      <c r="A286" s="4"/>
      <c r="B286" s="4"/>
      <c r="C286" s="4"/>
      <c r="D286" s="4"/>
      <c r="E286" s="4"/>
      <c r="F286" s="4"/>
    </row>
    <row r="287" ht="15.75" customHeight="1">
      <c r="A287" s="4"/>
      <c r="B287" s="4"/>
      <c r="C287" s="4"/>
      <c r="D287" s="4"/>
      <c r="E287" s="4"/>
      <c r="F287" s="4"/>
    </row>
    <row r="288" ht="15.75" customHeight="1">
      <c r="A288" s="4"/>
      <c r="B288" s="4"/>
      <c r="C288" s="4"/>
      <c r="D288" s="4"/>
      <c r="E288" s="4"/>
      <c r="F288" s="4"/>
    </row>
    <row r="289" ht="15.75" customHeight="1">
      <c r="A289" s="4"/>
      <c r="B289" s="4"/>
      <c r="C289" s="4"/>
      <c r="D289" s="4"/>
      <c r="E289" s="4"/>
      <c r="F289" s="4"/>
    </row>
    <row r="290" ht="15.75" customHeight="1">
      <c r="A290" s="4"/>
      <c r="B290" s="4"/>
      <c r="C290" s="4"/>
      <c r="D290" s="4"/>
      <c r="E290" s="4"/>
      <c r="F290" s="4"/>
    </row>
    <row r="291" ht="15.75" customHeight="1">
      <c r="A291" s="4"/>
      <c r="B291" s="4"/>
      <c r="C291" s="4"/>
      <c r="D291" s="4"/>
      <c r="E291" s="4"/>
      <c r="F291" s="4"/>
    </row>
    <row r="292" ht="15.75" customHeight="1">
      <c r="A292" s="4"/>
      <c r="B292" s="4"/>
      <c r="C292" s="4"/>
      <c r="D292" s="4"/>
      <c r="E292" s="4"/>
      <c r="F292" s="4"/>
    </row>
    <row r="293" ht="15.75" customHeight="1">
      <c r="A293" s="4"/>
      <c r="B293" s="4"/>
      <c r="C293" s="4"/>
      <c r="D293" s="4"/>
      <c r="E293" s="4"/>
      <c r="F293" s="4"/>
    </row>
    <row r="294" ht="15.75" customHeight="1">
      <c r="A294" s="4"/>
      <c r="B294" s="4"/>
      <c r="C294" s="4"/>
      <c r="D294" s="4"/>
      <c r="E294" s="4"/>
      <c r="F294" s="4"/>
    </row>
    <row r="295" ht="15.75" customHeight="1">
      <c r="A295" s="4"/>
      <c r="B295" s="4"/>
      <c r="C295" s="4"/>
      <c r="D295" s="4"/>
      <c r="E295" s="4"/>
      <c r="F295" s="4"/>
    </row>
    <row r="296" ht="15.75" customHeight="1">
      <c r="A296" s="4"/>
      <c r="B296" s="4"/>
      <c r="C296" s="4"/>
      <c r="D296" s="4"/>
      <c r="E296" s="4"/>
      <c r="F296" s="4"/>
    </row>
    <row r="297" ht="15.75" customHeight="1">
      <c r="A297" s="4"/>
      <c r="B297" s="4"/>
      <c r="C297" s="4"/>
      <c r="D297" s="4"/>
      <c r="E297" s="4"/>
      <c r="F297" s="4"/>
    </row>
    <row r="298" ht="15.75" customHeight="1">
      <c r="A298" s="4"/>
      <c r="B298" s="4"/>
      <c r="C298" s="4"/>
      <c r="D298" s="4"/>
      <c r="E298" s="4"/>
      <c r="F298" s="4"/>
    </row>
    <row r="299" ht="15.75" customHeight="1">
      <c r="A299" s="4"/>
      <c r="B299" s="4"/>
      <c r="C299" s="4"/>
      <c r="D299" s="4"/>
      <c r="E299" s="4"/>
      <c r="F299" s="4"/>
    </row>
    <row r="300" ht="15.75" customHeight="1">
      <c r="A300" s="4"/>
      <c r="B300" s="4"/>
      <c r="C300" s="4"/>
      <c r="D300" s="4"/>
      <c r="E300" s="4"/>
      <c r="F300" s="4"/>
    </row>
    <row r="301" ht="15.75" customHeight="1">
      <c r="A301" s="4"/>
      <c r="B301" s="4"/>
      <c r="C301" s="4"/>
      <c r="D301" s="4"/>
      <c r="E301" s="4"/>
      <c r="F301" s="4"/>
    </row>
    <row r="302" ht="15.75" customHeight="1">
      <c r="A302" s="4"/>
      <c r="B302" s="4"/>
      <c r="C302" s="4"/>
      <c r="D302" s="4"/>
      <c r="E302" s="4"/>
      <c r="F302" s="4"/>
    </row>
    <row r="303" ht="15.75" customHeight="1">
      <c r="A303" s="4"/>
      <c r="B303" s="4"/>
      <c r="C303" s="4"/>
      <c r="D303" s="4"/>
      <c r="E303" s="4"/>
      <c r="F303" s="4"/>
    </row>
    <row r="304" ht="15.75" customHeight="1">
      <c r="A304" s="4"/>
      <c r="B304" s="4"/>
      <c r="C304" s="4"/>
      <c r="D304" s="4"/>
      <c r="E304" s="4"/>
      <c r="F304" s="4"/>
    </row>
    <row r="305" ht="15.75" customHeight="1">
      <c r="A305" s="4"/>
      <c r="B305" s="4"/>
      <c r="C305" s="4"/>
      <c r="D305" s="4"/>
      <c r="E305" s="4"/>
      <c r="F305" s="4"/>
    </row>
    <row r="306" ht="15.75" customHeight="1">
      <c r="A306" s="4"/>
      <c r="B306" s="4"/>
      <c r="C306" s="4"/>
      <c r="D306" s="4"/>
      <c r="E306" s="4"/>
      <c r="F306" s="4"/>
    </row>
    <row r="307" ht="15.75" customHeight="1">
      <c r="A307" s="4"/>
      <c r="B307" s="4"/>
      <c r="C307" s="4"/>
      <c r="D307" s="4"/>
      <c r="E307" s="4"/>
      <c r="F307" s="4"/>
    </row>
    <row r="308" ht="15.75" customHeight="1">
      <c r="A308" s="4"/>
      <c r="B308" s="4"/>
      <c r="C308" s="4"/>
      <c r="D308" s="4"/>
      <c r="E308" s="4"/>
      <c r="F308" s="4"/>
    </row>
    <row r="309" ht="15.75" customHeight="1">
      <c r="A309" s="4"/>
      <c r="B309" s="4"/>
      <c r="C309" s="4"/>
      <c r="D309" s="4"/>
      <c r="E309" s="4"/>
      <c r="F309" s="4"/>
    </row>
    <row r="310" ht="15.75" customHeight="1">
      <c r="A310" s="4"/>
      <c r="B310" s="4"/>
      <c r="C310" s="4"/>
      <c r="D310" s="4"/>
      <c r="E310" s="4"/>
      <c r="F310" s="4"/>
    </row>
    <row r="311" ht="15.75" customHeight="1">
      <c r="A311" s="4"/>
      <c r="B311" s="4"/>
      <c r="C311" s="4"/>
      <c r="D311" s="4"/>
      <c r="E311" s="4"/>
      <c r="F311" s="4"/>
    </row>
    <row r="312" ht="15.75" customHeight="1">
      <c r="A312" s="4"/>
      <c r="B312" s="4"/>
      <c r="C312" s="4"/>
      <c r="D312" s="4"/>
      <c r="E312" s="4"/>
      <c r="F312" s="4"/>
    </row>
    <row r="313" ht="15.75" customHeight="1">
      <c r="A313" s="4"/>
      <c r="B313" s="4"/>
      <c r="C313" s="4"/>
      <c r="D313" s="4"/>
      <c r="E313" s="4"/>
      <c r="F313" s="4"/>
    </row>
    <row r="314" ht="15.75" customHeight="1">
      <c r="A314" s="4"/>
      <c r="B314" s="4"/>
      <c r="C314" s="4"/>
      <c r="D314" s="4"/>
      <c r="E314" s="4"/>
      <c r="F314" s="4"/>
    </row>
    <row r="315" ht="15.75" customHeight="1">
      <c r="A315" s="4"/>
      <c r="B315" s="4"/>
      <c r="C315" s="4"/>
      <c r="D315" s="4"/>
      <c r="E315" s="4"/>
      <c r="F315" s="4"/>
    </row>
    <row r="316" ht="15.75" customHeight="1">
      <c r="A316" s="4"/>
      <c r="B316" s="4"/>
      <c r="C316" s="4"/>
      <c r="D316" s="4"/>
      <c r="E316" s="4"/>
      <c r="F316" s="4"/>
    </row>
    <row r="317" ht="15.75" customHeight="1">
      <c r="A317" s="4"/>
      <c r="B317" s="4"/>
      <c r="C317" s="4"/>
      <c r="D317" s="4"/>
      <c r="E317" s="4"/>
      <c r="F317" s="4"/>
    </row>
    <row r="318" ht="15.75" customHeight="1">
      <c r="A318" s="4"/>
      <c r="B318" s="4"/>
      <c r="C318" s="4"/>
      <c r="D318" s="4"/>
      <c r="E318" s="4"/>
      <c r="F318" s="4"/>
    </row>
    <row r="319" ht="15.75" customHeight="1">
      <c r="A319" s="4"/>
      <c r="B319" s="4"/>
      <c r="C319" s="4"/>
      <c r="D319" s="4"/>
      <c r="E319" s="4"/>
      <c r="F319" s="4"/>
    </row>
    <row r="320" ht="15.75" customHeight="1">
      <c r="A320" s="4"/>
      <c r="B320" s="4"/>
      <c r="C320" s="4"/>
      <c r="D320" s="4"/>
      <c r="E320" s="4"/>
      <c r="F320" s="4"/>
    </row>
    <row r="321" ht="15.75" customHeight="1">
      <c r="A321" s="4"/>
      <c r="B321" s="4"/>
      <c r="C321" s="4"/>
      <c r="D321" s="4"/>
      <c r="E321" s="4"/>
      <c r="F321" s="4"/>
    </row>
    <row r="322" ht="15.75" customHeight="1">
      <c r="A322" s="4"/>
      <c r="B322" s="4"/>
      <c r="C322" s="4"/>
      <c r="D322" s="4"/>
      <c r="E322" s="4"/>
      <c r="F322" s="4"/>
    </row>
    <row r="323" ht="15.75" customHeight="1">
      <c r="A323" s="4"/>
      <c r="B323" s="4"/>
      <c r="C323" s="4"/>
      <c r="D323" s="4"/>
      <c r="E323" s="4"/>
      <c r="F323" s="4"/>
    </row>
    <row r="324" ht="15.75" customHeight="1">
      <c r="A324" s="4"/>
      <c r="B324" s="4"/>
      <c r="C324" s="4"/>
      <c r="D324" s="4"/>
      <c r="E324" s="4"/>
      <c r="F324" s="4"/>
    </row>
    <row r="325" ht="15.75" customHeight="1">
      <c r="A325" s="4"/>
      <c r="B325" s="4"/>
      <c r="C325" s="4"/>
      <c r="D325" s="4"/>
      <c r="E325" s="4"/>
      <c r="F325" s="4"/>
    </row>
    <row r="326" ht="15.75" customHeight="1">
      <c r="A326" s="4"/>
      <c r="B326" s="4"/>
      <c r="C326" s="4"/>
      <c r="D326" s="4"/>
      <c r="E326" s="4"/>
      <c r="F326" s="4"/>
    </row>
    <row r="327" ht="15.75" customHeight="1">
      <c r="A327" s="4"/>
      <c r="B327" s="4"/>
      <c r="C327" s="4"/>
      <c r="D327" s="4"/>
      <c r="E327" s="4"/>
      <c r="F327" s="4"/>
    </row>
    <row r="328" ht="15.75" customHeight="1">
      <c r="A328" s="4"/>
      <c r="B328" s="4"/>
      <c r="C328" s="4"/>
      <c r="D328" s="4"/>
      <c r="E328" s="4"/>
      <c r="F328" s="4"/>
    </row>
    <row r="329" ht="15.75" customHeight="1">
      <c r="A329" s="4"/>
      <c r="B329" s="4"/>
      <c r="C329" s="4"/>
      <c r="D329" s="4"/>
      <c r="E329" s="4"/>
      <c r="F329" s="4"/>
    </row>
    <row r="330" ht="15.75" customHeight="1">
      <c r="A330" s="4"/>
      <c r="B330" s="4"/>
      <c r="C330" s="4"/>
      <c r="D330" s="4"/>
      <c r="E330" s="4"/>
      <c r="F330" s="4"/>
    </row>
    <row r="331" ht="15.75" customHeight="1">
      <c r="A331" s="4"/>
      <c r="B331" s="4"/>
      <c r="C331" s="4"/>
      <c r="D331" s="4"/>
      <c r="E331" s="4"/>
      <c r="F331" s="4"/>
    </row>
    <row r="332" ht="15.75" customHeight="1">
      <c r="A332" s="4"/>
      <c r="B332" s="4"/>
      <c r="C332" s="4"/>
      <c r="D332" s="4"/>
      <c r="E332" s="4"/>
      <c r="F332" s="4"/>
    </row>
    <row r="333" ht="15.75" customHeight="1">
      <c r="A333" s="4"/>
      <c r="B333" s="4"/>
      <c r="C333" s="4"/>
      <c r="D333" s="4"/>
      <c r="E333" s="4"/>
      <c r="F333" s="4"/>
    </row>
    <row r="334" ht="15.75" customHeight="1">
      <c r="A334" s="4"/>
      <c r="B334" s="4"/>
      <c r="C334" s="4"/>
      <c r="D334" s="4"/>
      <c r="E334" s="4"/>
      <c r="F334" s="4"/>
    </row>
    <row r="335" ht="15.75" customHeight="1">
      <c r="A335" s="4"/>
      <c r="B335" s="4"/>
      <c r="C335" s="4"/>
      <c r="D335" s="4"/>
      <c r="E335" s="4"/>
      <c r="F335" s="4"/>
    </row>
    <row r="336" ht="15.75" customHeight="1">
      <c r="A336" s="4"/>
      <c r="B336" s="4"/>
      <c r="C336" s="4"/>
      <c r="D336" s="4"/>
      <c r="E336" s="4"/>
      <c r="F336" s="4"/>
    </row>
    <row r="337" ht="15.75" customHeight="1">
      <c r="A337" s="4"/>
      <c r="B337" s="4"/>
      <c r="C337" s="4"/>
      <c r="D337" s="4"/>
      <c r="E337" s="4"/>
      <c r="F337" s="4"/>
    </row>
    <row r="338" ht="15.75" customHeight="1">
      <c r="A338" s="4"/>
      <c r="B338" s="4"/>
      <c r="C338" s="4"/>
      <c r="D338" s="4"/>
      <c r="E338" s="4"/>
      <c r="F338" s="4"/>
    </row>
    <row r="339" ht="15.75" customHeight="1">
      <c r="A339" s="4"/>
      <c r="B339" s="4"/>
      <c r="C339" s="4"/>
      <c r="D339" s="4"/>
      <c r="E339" s="4"/>
      <c r="F339" s="4"/>
    </row>
    <row r="340" ht="15.75" customHeight="1">
      <c r="A340" s="4"/>
      <c r="B340" s="4"/>
      <c r="C340" s="4"/>
      <c r="D340" s="4"/>
      <c r="E340" s="4"/>
      <c r="F340" s="4"/>
    </row>
    <row r="341" ht="15.75" customHeight="1">
      <c r="A341" s="4"/>
      <c r="B341" s="4"/>
      <c r="C341" s="4"/>
      <c r="D341" s="4"/>
      <c r="E341" s="4"/>
      <c r="F341" s="4"/>
    </row>
    <row r="342" ht="15.75" customHeight="1">
      <c r="A342" s="4"/>
      <c r="B342" s="4"/>
      <c r="C342" s="4"/>
      <c r="D342" s="4"/>
      <c r="E342" s="4"/>
      <c r="F342" s="4"/>
    </row>
    <row r="343" ht="15.75" customHeight="1">
      <c r="A343" s="4"/>
      <c r="B343" s="4"/>
      <c r="C343" s="4"/>
      <c r="D343" s="4"/>
      <c r="E343" s="4"/>
      <c r="F343" s="4"/>
    </row>
    <row r="344" ht="15.75" customHeight="1">
      <c r="A344" s="4"/>
      <c r="B344" s="4"/>
      <c r="C344" s="4"/>
      <c r="D344" s="4"/>
      <c r="E344" s="4"/>
      <c r="F344" s="4"/>
    </row>
    <row r="345" ht="15.75" customHeight="1">
      <c r="A345" s="4"/>
      <c r="B345" s="4"/>
      <c r="C345" s="4"/>
      <c r="D345" s="4"/>
      <c r="E345" s="4"/>
      <c r="F345" s="4"/>
    </row>
    <row r="346" ht="15.75" customHeight="1">
      <c r="A346" s="4"/>
      <c r="B346" s="4"/>
      <c r="C346" s="4"/>
      <c r="D346" s="4"/>
      <c r="E346" s="4"/>
      <c r="F346" s="4"/>
    </row>
    <row r="347" ht="15.75" customHeight="1">
      <c r="A347" s="4"/>
      <c r="B347" s="4"/>
      <c r="C347" s="4"/>
      <c r="D347" s="4"/>
      <c r="E347" s="4"/>
      <c r="F347" s="4"/>
    </row>
    <row r="348" ht="15.75" customHeight="1">
      <c r="A348" s="4"/>
      <c r="B348" s="4"/>
      <c r="C348" s="4"/>
      <c r="D348" s="4"/>
      <c r="E348" s="4"/>
      <c r="F348" s="4"/>
    </row>
    <row r="349" ht="15.75" customHeight="1">
      <c r="A349" s="4"/>
      <c r="B349" s="4"/>
      <c r="C349" s="4"/>
      <c r="D349" s="4"/>
      <c r="E349" s="4"/>
      <c r="F349" s="4"/>
    </row>
    <row r="350" ht="15.75" customHeight="1">
      <c r="A350" s="4"/>
      <c r="B350" s="4"/>
      <c r="C350" s="4"/>
      <c r="D350" s="4"/>
      <c r="E350" s="4"/>
      <c r="F350" s="4"/>
    </row>
    <row r="351" ht="15.75" customHeight="1">
      <c r="A351" s="4"/>
      <c r="B351" s="4"/>
      <c r="C351" s="4"/>
      <c r="D351" s="4"/>
      <c r="E351" s="4"/>
      <c r="F351" s="4"/>
    </row>
    <row r="352" ht="15.75" customHeight="1">
      <c r="A352" s="4"/>
      <c r="B352" s="4"/>
      <c r="C352" s="4"/>
      <c r="D352" s="4"/>
      <c r="E352" s="4"/>
      <c r="F352" s="4"/>
    </row>
    <row r="353" ht="15.75" customHeight="1">
      <c r="A353" s="4"/>
      <c r="B353" s="4"/>
      <c r="C353" s="4"/>
      <c r="D353" s="4"/>
      <c r="E353" s="4"/>
      <c r="F353" s="4"/>
    </row>
    <row r="354" ht="15.75" customHeight="1">
      <c r="A354" s="4"/>
      <c r="B354" s="4"/>
      <c r="C354" s="4"/>
      <c r="D354" s="4"/>
      <c r="E354" s="4"/>
      <c r="F354" s="4"/>
    </row>
    <row r="355" ht="15.75" customHeight="1">
      <c r="A355" s="4"/>
      <c r="B355" s="4"/>
      <c r="C355" s="4"/>
      <c r="D355" s="4"/>
      <c r="E355" s="4"/>
      <c r="F355" s="4"/>
    </row>
    <row r="356" ht="15.75" customHeight="1">
      <c r="A356" s="4"/>
      <c r="B356" s="4"/>
      <c r="C356" s="4"/>
      <c r="D356" s="4"/>
      <c r="E356" s="4"/>
      <c r="F356" s="4"/>
    </row>
    <row r="357" ht="15.75" customHeight="1">
      <c r="A357" s="4"/>
      <c r="B357" s="4"/>
      <c r="C357" s="4"/>
      <c r="D357" s="4"/>
      <c r="E357" s="4"/>
      <c r="F357" s="4"/>
    </row>
    <row r="358" ht="15.75" customHeight="1">
      <c r="A358" s="4"/>
      <c r="B358" s="4"/>
      <c r="C358" s="4"/>
      <c r="D358" s="4"/>
      <c r="E358" s="4"/>
      <c r="F358" s="4"/>
    </row>
    <row r="359" ht="15.75" customHeight="1">
      <c r="A359" s="4"/>
      <c r="B359" s="4"/>
      <c r="C359" s="4"/>
      <c r="D359" s="4"/>
      <c r="E359" s="4"/>
      <c r="F359" s="4"/>
    </row>
    <row r="360" ht="15.75" customHeight="1">
      <c r="A360" s="4"/>
      <c r="B360" s="4"/>
      <c r="C360" s="4"/>
      <c r="D360" s="4"/>
      <c r="E360" s="4"/>
      <c r="F360" s="4"/>
    </row>
    <row r="361" ht="15.75" customHeight="1">
      <c r="A361" s="4"/>
      <c r="B361" s="4"/>
      <c r="C361" s="4"/>
      <c r="D361" s="4"/>
      <c r="E361" s="4"/>
      <c r="F361" s="4"/>
    </row>
    <row r="362" ht="15.75" customHeight="1">
      <c r="A362" s="4"/>
      <c r="B362" s="4"/>
      <c r="C362" s="4"/>
      <c r="D362" s="4"/>
      <c r="E362" s="4"/>
      <c r="F362" s="4"/>
    </row>
    <row r="363" ht="15.75" customHeight="1">
      <c r="A363" s="4"/>
      <c r="B363" s="4"/>
      <c r="C363" s="4"/>
      <c r="D363" s="4"/>
      <c r="E363" s="4"/>
      <c r="F363" s="4"/>
    </row>
    <row r="364" ht="15.75" customHeight="1">
      <c r="A364" s="4"/>
      <c r="B364" s="4"/>
      <c r="C364" s="4"/>
      <c r="D364" s="4"/>
      <c r="E364" s="4"/>
      <c r="F364" s="4"/>
    </row>
    <row r="365" ht="15.75" customHeight="1">
      <c r="A365" s="4"/>
      <c r="B365" s="4"/>
      <c r="C365" s="4"/>
      <c r="D365" s="4"/>
      <c r="E365" s="4"/>
      <c r="F365" s="4"/>
    </row>
    <row r="366" ht="15.75" customHeight="1">
      <c r="A366" s="4"/>
      <c r="B366" s="4"/>
      <c r="C366" s="4"/>
      <c r="D366" s="4"/>
      <c r="E366" s="4"/>
      <c r="F366" s="4"/>
    </row>
    <row r="367" ht="15.75" customHeight="1">
      <c r="A367" s="4"/>
      <c r="B367" s="4"/>
      <c r="C367" s="4"/>
      <c r="D367" s="4"/>
      <c r="E367" s="4"/>
      <c r="F367" s="4"/>
    </row>
    <row r="368" ht="15.75" customHeight="1">
      <c r="A368" s="4"/>
      <c r="B368" s="4"/>
      <c r="C368" s="4"/>
      <c r="D368" s="4"/>
      <c r="E368" s="4"/>
      <c r="F368" s="4"/>
    </row>
    <row r="369" ht="15.75" customHeight="1">
      <c r="A369" s="4"/>
      <c r="B369" s="4"/>
      <c r="C369" s="4"/>
      <c r="D369" s="4"/>
      <c r="E369" s="4"/>
      <c r="F369" s="4"/>
    </row>
    <row r="370" ht="15.75" customHeight="1">
      <c r="A370" s="4"/>
      <c r="B370" s="4"/>
      <c r="C370" s="4"/>
      <c r="D370" s="4"/>
      <c r="E370" s="4"/>
      <c r="F370" s="4"/>
    </row>
    <row r="371" ht="15.75" customHeight="1">
      <c r="A371" s="4"/>
      <c r="B371" s="4"/>
      <c r="C371" s="4"/>
      <c r="D371" s="4"/>
      <c r="E371" s="4"/>
      <c r="F371" s="4"/>
    </row>
    <row r="372" ht="15.75" customHeight="1">
      <c r="A372" s="4"/>
      <c r="B372" s="4"/>
      <c r="C372" s="4"/>
      <c r="D372" s="4"/>
      <c r="E372" s="4"/>
      <c r="F372" s="4"/>
    </row>
    <row r="373" ht="15.75" customHeight="1">
      <c r="A373" s="4"/>
      <c r="B373" s="4"/>
      <c r="C373" s="4"/>
      <c r="D373" s="4"/>
      <c r="E373" s="4"/>
      <c r="F373" s="4"/>
    </row>
    <row r="374" ht="15.75" customHeight="1">
      <c r="A374" s="4"/>
      <c r="B374" s="4"/>
      <c r="C374" s="4"/>
      <c r="D374" s="4"/>
      <c r="E374" s="4"/>
      <c r="F374" s="4"/>
    </row>
    <row r="375" ht="15.75" customHeight="1">
      <c r="A375" s="4"/>
      <c r="B375" s="4"/>
      <c r="C375" s="4"/>
      <c r="D375" s="4"/>
      <c r="E375" s="4"/>
      <c r="F375" s="4"/>
    </row>
    <row r="376" ht="15.75" customHeight="1">
      <c r="A376" s="4"/>
      <c r="B376" s="4"/>
      <c r="C376" s="4"/>
      <c r="D376" s="4"/>
      <c r="E376" s="4"/>
      <c r="F376" s="4"/>
    </row>
    <row r="377" ht="15.75" customHeight="1">
      <c r="A377" s="4"/>
      <c r="B377" s="4"/>
      <c r="C377" s="4"/>
      <c r="D377" s="4"/>
      <c r="E377" s="4"/>
      <c r="F377" s="4"/>
    </row>
    <row r="378" ht="15.75" customHeight="1">
      <c r="A378" s="4"/>
      <c r="B378" s="4"/>
      <c r="C378" s="4"/>
      <c r="D378" s="4"/>
      <c r="E378" s="4"/>
      <c r="F378" s="4"/>
    </row>
    <row r="379" ht="15.75" customHeight="1">
      <c r="A379" s="4"/>
      <c r="B379" s="4"/>
      <c r="C379" s="4"/>
      <c r="D379" s="4"/>
      <c r="E379" s="4"/>
      <c r="F379" s="4"/>
    </row>
    <row r="380" ht="15.75" customHeight="1">
      <c r="A380" s="4"/>
      <c r="B380" s="4"/>
      <c r="C380" s="4"/>
      <c r="D380" s="4"/>
      <c r="E380" s="4"/>
      <c r="F380" s="4"/>
    </row>
    <row r="381" ht="15.75" customHeight="1">
      <c r="A381" s="4"/>
      <c r="B381" s="4"/>
      <c r="C381" s="4"/>
      <c r="D381" s="4"/>
      <c r="E381" s="4"/>
      <c r="F381" s="4"/>
    </row>
    <row r="382" ht="15.75" customHeight="1">
      <c r="A382" s="4"/>
      <c r="B382" s="4"/>
      <c r="C382" s="4"/>
      <c r="D382" s="4"/>
      <c r="E382" s="4"/>
      <c r="F382" s="4"/>
    </row>
    <row r="383" ht="15.75" customHeight="1">
      <c r="A383" s="4"/>
      <c r="B383" s="4"/>
      <c r="C383" s="4"/>
      <c r="D383" s="4"/>
      <c r="E383" s="4"/>
      <c r="F383" s="4"/>
    </row>
    <row r="384" ht="15.75" customHeight="1">
      <c r="A384" s="4"/>
      <c r="B384" s="4"/>
      <c r="C384" s="4"/>
      <c r="D384" s="4"/>
      <c r="E384" s="4"/>
      <c r="F384" s="4"/>
    </row>
    <row r="385" ht="15.75" customHeight="1">
      <c r="A385" s="4"/>
      <c r="B385" s="4"/>
      <c r="C385" s="4"/>
      <c r="D385" s="4"/>
      <c r="E385" s="4"/>
      <c r="F385" s="4"/>
    </row>
    <row r="386" ht="15.75" customHeight="1">
      <c r="A386" s="4"/>
      <c r="B386" s="4"/>
      <c r="C386" s="4"/>
      <c r="D386" s="4"/>
      <c r="E386" s="4"/>
      <c r="F386" s="4"/>
    </row>
    <row r="387" ht="15.75" customHeight="1">
      <c r="A387" s="4"/>
      <c r="B387" s="4"/>
      <c r="C387" s="4"/>
      <c r="D387" s="4"/>
      <c r="E387" s="4"/>
      <c r="F387" s="4"/>
    </row>
    <row r="388" ht="15.75" customHeight="1">
      <c r="A388" s="4"/>
      <c r="B388" s="4"/>
      <c r="C388" s="4"/>
      <c r="D388" s="4"/>
      <c r="E388" s="4"/>
      <c r="F388" s="4"/>
    </row>
    <row r="389" ht="15.75" customHeight="1">
      <c r="A389" s="4"/>
      <c r="B389" s="4"/>
      <c r="C389" s="4"/>
      <c r="D389" s="4"/>
      <c r="E389" s="4"/>
      <c r="F389" s="4"/>
    </row>
    <row r="390" ht="15.75" customHeight="1">
      <c r="A390" s="4"/>
      <c r="B390" s="4"/>
      <c r="C390" s="4"/>
      <c r="D390" s="4"/>
      <c r="E390" s="4"/>
      <c r="F390" s="4"/>
    </row>
    <row r="391" ht="15.75" customHeight="1">
      <c r="A391" s="4"/>
      <c r="B391" s="4"/>
      <c r="C391" s="4"/>
      <c r="D391" s="4"/>
      <c r="E391" s="4"/>
      <c r="F391" s="4"/>
    </row>
    <row r="392" ht="15.75" customHeight="1">
      <c r="A392" s="4"/>
      <c r="B392" s="4"/>
      <c r="C392" s="4"/>
      <c r="D392" s="4"/>
      <c r="E392" s="4"/>
      <c r="F392" s="4"/>
    </row>
    <row r="393" ht="15.75" customHeight="1">
      <c r="A393" s="4"/>
      <c r="B393" s="4"/>
      <c r="C393" s="4"/>
      <c r="D393" s="4"/>
      <c r="E393" s="4"/>
      <c r="F393" s="4"/>
    </row>
    <row r="394" ht="15.75" customHeight="1">
      <c r="A394" s="4"/>
      <c r="B394" s="4"/>
      <c r="C394" s="4"/>
      <c r="D394" s="4"/>
      <c r="E394" s="4"/>
      <c r="F394" s="4"/>
    </row>
    <row r="395" ht="15.75" customHeight="1">
      <c r="A395" s="4"/>
      <c r="B395" s="4"/>
      <c r="C395" s="4"/>
      <c r="D395" s="4"/>
      <c r="E395" s="4"/>
      <c r="F395" s="4"/>
    </row>
    <row r="396" ht="15.75" customHeight="1">
      <c r="A396" s="4"/>
      <c r="B396" s="4"/>
      <c r="C396" s="4"/>
      <c r="D396" s="4"/>
      <c r="E396" s="4"/>
      <c r="F396" s="4"/>
    </row>
    <row r="397" ht="15.75" customHeight="1">
      <c r="A397" s="4"/>
      <c r="B397" s="4"/>
      <c r="C397" s="4"/>
      <c r="D397" s="4"/>
      <c r="E397" s="4"/>
      <c r="F397" s="4"/>
    </row>
    <row r="398" ht="15.75" customHeight="1">
      <c r="A398" s="4"/>
      <c r="B398" s="4"/>
      <c r="C398" s="4"/>
      <c r="D398" s="4"/>
      <c r="E398" s="4"/>
      <c r="F398" s="4"/>
    </row>
    <row r="399" ht="15.75" customHeight="1">
      <c r="A399" s="4"/>
      <c r="B399" s="4"/>
      <c r="C399" s="4"/>
      <c r="D399" s="4"/>
      <c r="E399" s="4"/>
      <c r="F399" s="4"/>
    </row>
    <row r="400" ht="15.75" customHeight="1">
      <c r="A400" s="4"/>
      <c r="B400" s="4"/>
      <c r="C400" s="4"/>
      <c r="D400" s="4"/>
      <c r="E400" s="4"/>
      <c r="F400" s="4"/>
    </row>
    <row r="401" ht="15.75" customHeight="1">
      <c r="A401" s="4"/>
      <c r="B401" s="4"/>
      <c r="C401" s="4"/>
      <c r="D401" s="4"/>
      <c r="E401" s="4"/>
      <c r="F401" s="4"/>
    </row>
    <row r="402" ht="15.75" customHeight="1">
      <c r="A402" s="4"/>
      <c r="B402" s="4"/>
      <c r="C402" s="4"/>
      <c r="D402" s="4"/>
      <c r="E402" s="4"/>
      <c r="F402" s="4"/>
    </row>
    <row r="403" ht="15.75" customHeight="1">
      <c r="A403" s="4"/>
      <c r="B403" s="4"/>
      <c r="C403" s="4"/>
      <c r="D403" s="4"/>
      <c r="E403" s="4"/>
      <c r="F403" s="4"/>
    </row>
    <row r="404" ht="15.75" customHeight="1">
      <c r="A404" s="4"/>
      <c r="B404" s="4"/>
      <c r="C404" s="4"/>
      <c r="D404" s="4"/>
      <c r="E404" s="4"/>
      <c r="F404" s="4"/>
    </row>
    <row r="405" ht="15.75" customHeight="1">
      <c r="A405" s="4"/>
      <c r="B405" s="4"/>
      <c r="C405" s="4"/>
      <c r="D405" s="4"/>
      <c r="E405" s="4"/>
      <c r="F405" s="4"/>
    </row>
    <row r="406" ht="15.75" customHeight="1">
      <c r="A406" s="4"/>
      <c r="B406" s="4"/>
      <c r="C406" s="4"/>
      <c r="D406" s="4"/>
      <c r="E406" s="4"/>
      <c r="F406" s="4"/>
    </row>
    <row r="407" ht="15.75" customHeight="1">
      <c r="A407" s="4"/>
      <c r="B407" s="4"/>
      <c r="C407" s="4"/>
      <c r="D407" s="4"/>
      <c r="E407" s="4"/>
      <c r="F407" s="4"/>
    </row>
    <row r="408" ht="15.75" customHeight="1">
      <c r="A408" s="4"/>
      <c r="B408" s="4"/>
      <c r="C408" s="4"/>
      <c r="D408" s="4"/>
      <c r="E408" s="4"/>
      <c r="F408" s="4"/>
    </row>
    <row r="409" ht="15.75" customHeight="1">
      <c r="A409" s="4"/>
      <c r="B409" s="4"/>
      <c r="C409" s="4"/>
      <c r="D409" s="4"/>
      <c r="E409" s="4"/>
      <c r="F409" s="4"/>
    </row>
    <row r="410" ht="15.75" customHeight="1">
      <c r="A410" s="4"/>
      <c r="B410" s="4"/>
      <c r="C410" s="4"/>
      <c r="D410" s="4"/>
      <c r="E410" s="4"/>
      <c r="F410" s="4"/>
    </row>
    <row r="411" ht="15.75" customHeight="1">
      <c r="A411" s="4"/>
      <c r="B411" s="4"/>
      <c r="C411" s="4"/>
      <c r="D411" s="4"/>
      <c r="E411" s="4"/>
      <c r="F411" s="4"/>
    </row>
    <row r="412" ht="15.75" customHeight="1">
      <c r="A412" s="4"/>
      <c r="B412" s="4"/>
      <c r="C412" s="4"/>
      <c r="D412" s="4"/>
      <c r="E412" s="4"/>
      <c r="F412" s="4"/>
    </row>
    <row r="413" ht="15.75" customHeight="1">
      <c r="A413" s="4"/>
      <c r="B413" s="4"/>
      <c r="C413" s="4"/>
      <c r="D413" s="4"/>
      <c r="E413" s="4"/>
      <c r="F413" s="4"/>
    </row>
    <row r="414" ht="15.75" customHeight="1">
      <c r="A414" s="4"/>
      <c r="B414" s="4"/>
      <c r="C414" s="4"/>
      <c r="D414" s="4"/>
      <c r="E414" s="4"/>
      <c r="F414" s="4"/>
    </row>
    <row r="415" ht="15.75" customHeight="1">
      <c r="A415" s="4"/>
      <c r="B415" s="4"/>
      <c r="C415" s="4"/>
      <c r="D415" s="4"/>
      <c r="E415" s="4"/>
      <c r="F415" s="4"/>
    </row>
    <row r="416" ht="15.75" customHeight="1">
      <c r="A416" s="4"/>
      <c r="B416" s="4"/>
      <c r="C416" s="4"/>
      <c r="D416" s="4"/>
      <c r="E416" s="4"/>
      <c r="F416" s="4"/>
    </row>
    <row r="417" ht="15.75" customHeight="1">
      <c r="A417" s="4"/>
      <c r="B417" s="4"/>
      <c r="C417" s="4"/>
      <c r="D417" s="4"/>
      <c r="E417" s="4"/>
      <c r="F417" s="4"/>
    </row>
    <row r="418" ht="15.75" customHeight="1">
      <c r="A418" s="4"/>
      <c r="B418" s="4"/>
      <c r="C418" s="4"/>
      <c r="D418" s="4"/>
      <c r="E418" s="4"/>
      <c r="F418" s="4"/>
    </row>
    <row r="419" ht="15.75" customHeight="1">
      <c r="A419" s="4"/>
      <c r="B419" s="4"/>
      <c r="C419" s="4"/>
      <c r="D419" s="4"/>
      <c r="E419" s="4"/>
      <c r="F419" s="4"/>
    </row>
    <row r="420" ht="15.75" customHeight="1">
      <c r="A420" s="4"/>
      <c r="B420" s="4"/>
      <c r="C420" s="4"/>
      <c r="D420" s="4"/>
      <c r="E420" s="4"/>
      <c r="F420" s="4"/>
    </row>
    <row r="421" ht="15.75" customHeight="1">
      <c r="A421" s="4"/>
      <c r="B421" s="4"/>
      <c r="C421" s="4"/>
      <c r="D421" s="4"/>
      <c r="E421" s="4"/>
      <c r="F421" s="4"/>
    </row>
    <row r="422" ht="15.75" customHeight="1">
      <c r="A422" s="4"/>
      <c r="B422" s="4"/>
      <c r="C422" s="4"/>
      <c r="D422" s="4"/>
      <c r="E422" s="4"/>
      <c r="F422" s="4"/>
    </row>
    <row r="423" ht="15.75" customHeight="1">
      <c r="A423" s="4"/>
      <c r="B423" s="4"/>
      <c r="C423" s="4"/>
      <c r="D423" s="4"/>
      <c r="E423" s="4"/>
      <c r="F423" s="4"/>
    </row>
    <row r="424" ht="15.75" customHeight="1">
      <c r="A424" s="4"/>
      <c r="B424" s="4"/>
      <c r="C424" s="4"/>
      <c r="D424" s="4"/>
      <c r="E424" s="4"/>
      <c r="F424" s="4"/>
    </row>
    <row r="425" ht="15.75" customHeight="1">
      <c r="A425" s="4"/>
      <c r="B425" s="4"/>
      <c r="C425" s="4"/>
      <c r="D425" s="4"/>
      <c r="E425" s="4"/>
      <c r="F425" s="4"/>
    </row>
    <row r="426" ht="15.75" customHeight="1">
      <c r="A426" s="4"/>
      <c r="B426" s="4"/>
      <c r="C426" s="4"/>
      <c r="D426" s="4"/>
      <c r="E426" s="4"/>
      <c r="F426" s="4"/>
    </row>
    <row r="427" ht="15.75" customHeight="1">
      <c r="A427" s="4"/>
      <c r="B427" s="4"/>
      <c r="C427" s="4"/>
      <c r="D427" s="4"/>
      <c r="E427" s="4"/>
      <c r="F427" s="4"/>
    </row>
    <row r="428" ht="15.75" customHeight="1">
      <c r="A428" s="4"/>
      <c r="B428" s="4"/>
      <c r="C428" s="4"/>
      <c r="D428" s="4"/>
      <c r="E428" s="4"/>
      <c r="F428" s="4"/>
    </row>
    <row r="429" ht="15.75" customHeight="1">
      <c r="A429" s="4"/>
      <c r="B429" s="4"/>
      <c r="C429" s="4"/>
      <c r="D429" s="4"/>
      <c r="E429" s="4"/>
      <c r="F429" s="4"/>
    </row>
    <row r="430" ht="15.75" customHeight="1">
      <c r="A430" s="4"/>
      <c r="B430" s="4"/>
      <c r="C430" s="4"/>
      <c r="D430" s="4"/>
      <c r="E430" s="4"/>
      <c r="F430" s="4"/>
    </row>
    <row r="431" ht="15.75" customHeight="1">
      <c r="A431" s="4"/>
      <c r="B431" s="4"/>
      <c r="C431" s="4"/>
      <c r="D431" s="4"/>
      <c r="E431" s="4"/>
      <c r="F431" s="4"/>
    </row>
    <row r="432" ht="15.75" customHeight="1">
      <c r="A432" s="4"/>
      <c r="B432" s="4"/>
      <c r="C432" s="4"/>
      <c r="D432" s="4"/>
      <c r="E432" s="4"/>
      <c r="F432" s="4"/>
    </row>
    <row r="433" ht="15.75" customHeight="1">
      <c r="A433" s="4"/>
      <c r="B433" s="4"/>
      <c r="C433" s="4"/>
      <c r="D433" s="4"/>
      <c r="E433" s="4"/>
      <c r="F433" s="4"/>
    </row>
    <row r="434" ht="15.75" customHeight="1">
      <c r="A434" s="4"/>
      <c r="B434" s="4"/>
      <c r="C434" s="4"/>
      <c r="D434" s="4"/>
      <c r="E434" s="4"/>
      <c r="F434" s="4"/>
    </row>
    <row r="435" ht="15.75" customHeight="1">
      <c r="A435" s="4"/>
      <c r="B435" s="4"/>
      <c r="C435" s="4"/>
      <c r="D435" s="4"/>
      <c r="E435" s="4"/>
      <c r="F435" s="4"/>
    </row>
    <row r="436" ht="15.75" customHeight="1">
      <c r="A436" s="4"/>
      <c r="B436" s="4"/>
      <c r="C436" s="4"/>
      <c r="D436" s="4"/>
      <c r="E436" s="4"/>
      <c r="F436" s="4"/>
    </row>
    <row r="437" ht="15.75" customHeight="1">
      <c r="A437" s="4"/>
      <c r="B437" s="4"/>
      <c r="C437" s="4"/>
      <c r="D437" s="4"/>
      <c r="E437" s="4"/>
      <c r="F437" s="4"/>
    </row>
    <row r="438" ht="15.75" customHeight="1">
      <c r="A438" s="4"/>
      <c r="B438" s="4"/>
      <c r="C438" s="4"/>
      <c r="D438" s="4"/>
      <c r="E438" s="4"/>
      <c r="F438" s="4"/>
    </row>
    <row r="439" ht="15.75" customHeight="1">
      <c r="A439" s="4"/>
      <c r="B439" s="4"/>
      <c r="C439" s="4"/>
      <c r="D439" s="4"/>
      <c r="E439" s="4"/>
      <c r="F439" s="4"/>
    </row>
    <row r="440" ht="15.75" customHeight="1">
      <c r="A440" s="4"/>
      <c r="B440" s="4"/>
      <c r="C440" s="4"/>
      <c r="D440" s="4"/>
      <c r="E440" s="4"/>
      <c r="F440" s="4"/>
    </row>
    <row r="441" ht="15.75" customHeight="1">
      <c r="A441" s="4"/>
      <c r="B441" s="4"/>
      <c r="C441" s="4"/>
      <c r="D441" s="4"/>
      <c r="E441" s="4"/>
      <c r="F441" s="4"/>
    </row>
    <row r="442" ht="15.75" customHeight="1">
      <c r="A442" s="4"/>
      <c r="B442" s="4"/>
      <c r="C442" s="4"/>
      <c r="D442" s="4"/>
      <c r="E442" s="4"/>
      <c r="F442" s="4"/>
    </row>
    <row r="443" ht="15.75" customHeight="1">
      <c r="A443" s="4"/>
      <c r="B443" s="4"/>
      <c r="C443" s="4"/>
      <c r="D443" s="4"/>
      <c r="E443" s="4"/>
      <c r="F443" s="4"/>
    </row>
    <row r="444" ht="15.75" customHeight="1">
      <c r="A444" s="4"/>
      <c r="B444" s="4"/>
      <c r="C444" s="4"/>
      <c r="D444" s="4"/>
      <c r="E444" s="4"/>
      <c r="F444" s="4"/>
    </row>
    <row r="445" ht="15.75" customHeight="1">
      <c r="A445" s="4"/>
      <c r="B445" s="4"/>
      <c r="C445" s="4"/>
      <c r="D445" s="4"/>
      <c r="E445" s="4"/>
      <c r="F445" s="4"/>
    </row>
    <row r="446" ht="15.75" customHeight="1">
      <c r="A446" s="4"/>
      <c r="B446" s="4"/>
      <c r="C446" s="4"/>
      <c r="D446" s="4"/>
      <c r="E446" s="4"/>
      <c r="F446" s="4"/>
    </row>
    <row r="447" ht="15.75" customHeight="1">
      <c r="A447" s="4"/>
      <c r="B447" s="4"/>
      <c r="C447" s="4"/>
      <c r="D447" s="4"/>
      <c r="E447" s="4"/>
      <c r="F447" s="4"/>
    </row>
    <row r="448" ht="15.75" customHeight="1">
      <c r="A448" s="4"/>
      <c r="B448" s="4"/>
      <c r="C448" s="4"/>
      <c r="D448" s="4"/>
      <c r="E448" s="4"/>
      <c r="F448" s="4"/>
    </row>
    <row r="449" ht="15.75" customHeight="1">
      <c r="A449" s="4"/>
      <c r="B449" s="4"/>
      <c r="C449" s="4"/>
      <c r="D449" s="4"/>
      <c r="E449" s="4"/>
      <c r="F449" s="4"/>
    </row>
    <row r="450" ht="15.75" customHeight="1">
      <c r="A450" s="4"/>
      <c r="B450" s="4"/>
      <c r="C450" s="4"/>
      <c r="D450" s="4"/>
      <c r="E450" s="4"/>
      <c r="F450" s="4"/>
    </row>
    <row r="451" ht="15.75" customHeight="1">
      <c r="A451" s="4"/>
      <c r="B451" s="4"/>
      <c r="C451" s="4"/>
      <c r="D451" s="4"/>
      <c r="E451" s="4"/>
      <c r="F451" s="4"/>
    </row>
    <row r="452" ht="15.75" customHeight="1">
      <c r="A452" s="4"/>
      <c r="B452" s="4"/>
      <c r="C452" s="4"/>
      <c r="D452" s="4"/>
      <c r="E452" s="4"/>
      <c r="F452" s="4"/>
    </row>
    <row r="453" ht="15.75" customHeight="1">
      <c r="A453" s="4"/>
      <c r="B453" s="4"/>
      <c r="C453" s="4"/>
      <c r="D453" s="4"/>
      <c r="E453" s="4"/>
      <c r="F453" s="4"/>
    </row>
    <row r="454" ht="15.75" customHeight="1">
      <c r="A454" s="4"/>
      <c r="B454" s="4"/>
      <c r="C454" s="4"/>
      <c r="D454" s="4"/>
      <c r="E454" s="4"/>
      <c r="F454" s="4"/>
    </row>
    <row r="455" ht="15.75" customHeight="1">
      <c r="A455" s="4"/>
      <c r="B455" s="4"/>
      <c r="C455" s="4"/>
      <c r="D455" s="4"/>
      <c r="E455" s="4"/>
      <c r="F455" s="4"/>
    </row>
    <row r="456" ht="15.75" customHeight="1">
      <c r="A456" s="4"/>
      <c r="B456" s="4"/>
      <c r="C456" s="4"/>
      <c r="D456" s="4"/>
      <c r="E456" s="4"/>
      <c r="F456" s="4"/>
    </row>
    <row r="457" ht="15.75" customHeight="1">
      <c r="A457" s="4"/>
      <c r="B457" s="4"/>
      <c r="C457" s="4"/>
      <c r="D457" s="4"/>
      <c r="E457" s="4"/>
      <c r="F457" s="4"/>
    </row>
    <row r="458" ht="15.75" customHeight="1">
      <c r="A458" s="4"/>
      <c r="B458" s="4"/>
      <c r="C458" s="4"/>
      <c r="D458" s="4"/>
      <c r="E458" s="4"/>
      <c r="F458" s="4"/>
    </row>
    <row r="459" ht="15.75" customHeight="1">
      <c r="A459" s="4"/>
      <c r="B459" s="4"/>
      <c r="C459" s="4"/>
      <c r="D459" s="4"/>
      <c r="E459" s="4"/>
      <c r="F459" s="4"/>
    </row>
    <row r="460" ht="15.75" customHeight="1">
      <c r="A460" s="4"/>
      <c r="B460" s="4"/>
      <c r="C460" s="4"/>
      <c r="D460" s="4"/>
      <c r="E460" s="4"/>
      <c r="F460" s="4"/>
    </row>
    <row r="461" ht="15.75" customHeight="1">
      <c r="A461" s="4"/>
      <c r="B461" s="4"/>
      <c r="C461" s="4"/>
      <c r="D461" s="4"/>
      <c r="E461" s="4"/>
      <c r="F461" s="4"/>
    </row>
    <row r="462" ht="15.75" customHeight="1">
      <c r="A462" s="4"/>
      <c r="B462" s="4"/>
      <c r="C462" s="4"/>
      <c r="D462" s="4"/>
      <c r="E462" s="4"/>
      <c r="F462" s="4"/>
    </row>
    <row r="463" ht="15.75" customHeight="1">
      <c r="A463" s="4"/>
      <c r="B463" s="4"/>
      <c r="C463" s="4"/>
      <c r="D463" s="4"/>
      <c r="E463" s="4"/>
      <c r="F463" s="4"/>
    </row>
    <row r="464" ht="15.75" customHeight="1">
      <c r="A464" s="4"/>
      <c r="B464" s="4"/>
      <c r="C464" s="4"/>
      <c r="D464" s="4"/>
      <c r="E464" s="4"/>
      <c r="F464" s="4"/>
    </row>
    <row r="465" ht="15.75" customHeight="1">
      <c r="A465" s="4"/>
      <c r="B465" s="4"/>
      <c r="C465" s="4"/>
      <c r="D465" s="4"/>
      <c r="E465" s="4"/>
      <c r="F465" s="4"/>
    </row>
    <row r="466" ht="15.75" customHeight="1">
      <c r="A466" s="4"/>
      <c r="B466" s="4"/>
      <c r="C466" s="4"/>
      <c r="D466" s="4"/>
      <c r="E466" s="4"/>
      <c r="F466" s="4"/>
    </row>
    <row r="467" ht="15.75" customHeight="1">
      <c r="A467" s="4"/>
      <c r="B467" s="4"/>
      <c r="C467" s="4"/>
      <c r="D467" s="4"/>
      <c r="E467" s="4"/>
      <c r="F467" s="4"/>
    </row>
    <row r="468" ht="15.75" customHeight="1">
      <c r="A468" s="4"/>
      <c r="B468" s="4"/>
      <c r="C468" s="4"/>
      <c r="D468" s="4"/>
      <c r="E468" s="4"/>
      <c r="F468" s="4"/>
    </row>
    <row r="469" ht="15.75" customHeight="1">
      <c r="A469" s="4"/>
      <c r="B469" s="4"/>
      <c r="C469" s="4"/>
      <c r="D469" s="4"/>
      <c r="E469" s="4"/>
      <c r="F469" s="4"/>
    </row>
    <row r="470" ht="15.75" customHeight="1">
      <c r="A470" s="4"/>
      <c r="B470" s="4"/>
      <c r="C470" s="4"/>
      <c r="D470" s="4"/>
      <c r="E470" s="4"/>
      <c r="F470" s="4"/>
    </row>
    <row r="471" ht="15.75" customHeight="1">
      <c r="A471" s="4"/>
      <c r="B471" s="4"/>
      <c r="C471" s="4"/>
      <c r="D471" s="4"/>
      <c r="E471" s="4"/>
      <c r="F471" s="4"/>
    </row>
    <row r="472" ht="15.75" customHeight="1">
      <c r="A472" s="4"/>
      <c r="B472" s="4"/>
      <c r="C472" s="4"/>
      <c r="D472" s="4"/>
      <c r="E472" s="4"/>
      <c r="F472" s="4"/>
    </row>
    <row r="473" ht="15.75" customHeight="1">
      <c r="A473" s="4"/>
      <c r="B473" s="4"/>
      <c r="C473" s="4"/>
      <c r="D473" s="4"/>
      <c r="E473" s="4"/>
      <c r="F473" s="4"/>
    </row>
    <row r="474" ht="15.75" customHeight="1">
      <c r="A474" s="4"/>
      <c r="B474" s="4"/>
      <c r="C474" s="4"/>
      <c r="D474" s="4"/>
      <c r="E474" s="4"/>
      <c r="F474" s="4"/>
    </row>
    <row r="475" ht="15.75" customHeight="1">
      <c r="A475" s="4"/>
      <c r="B475" s="4"/>
      <c r="C475" s="4"/>
      <c r="D475" s="4"/>
      <c r="E475" s="4"/>
      <c r="F475" s="4"/>
    </row>
    <row r="476" ht="15.75" customHeight="1">
      <c r="A476" s="4"/>
      <c r="B476" s="4"/>
      <c r="C476" s="4"/>
      <c r="D476" s="4"/>
      <c r="E476" s="4"/>
      <c r="F476" s="4"/>
    </row>
    <row r="477" ht="15.75" customHeight="1">
      <c r="A477" s="4"/>
      <c r="B477" s="4"/>
      <c r="C477" s="4"/>
      <c r="D477" s="4"/>
      <c r="E477" s="4"/>
      <c r="F477" s="4"/>
    </row>
    <row r="478" ht="15.75" customHeight="1">
      <c r="A478" s="4"/>
      <c r="B478" s="4"/>
      <c r="C478" s="4"/>
      <c r="D478" s="4"/>
      <c r="E478" s="4"/>
      <c r="F478" s="4"/>
    </row>
    <row r="479" ht="15.75" customHeight="1">
      <c r="A479" s="4"/>
      <c r="B479" s="4"/>
      <c r="C479" s="4"/>
      <c r="D479" s="4"/>
      <c r="E479" s="4"/>
      <c r="F479" s="4"/>
    </row>
    <row r="480" ht="15.75" customHeight="1">
      <c r="A480" s="4"/>
      <c r="B480" s="4"/>
      <c r="C480" s="4"/>
      <c r="D480" s="4"/>
      <c r="E480" s="4"/>
      <c r="F480" s="4"/>
    </row>
    <row r="481" ht="15.75" customHeight="1">
      <c r="A481" s="4"/>
      <c r="B481" s="4"/>
      <c r="C481" s="4"/>
      <c r="D481" s="4"/>
      <c r="E481" s="4"/>
      <c r="F481" s="4"/>
    </row>
    <row r="482" ht="15.75" customHeight="1">
      <c r="A482" s="4"/>
      <c r="B482" s="4"/>
      <c r="C482" s="4"/>
      <c r="D482" s="4"/>
      <c r="E482" s="4"/>
      <c r="F482" s="4"/>
    </row>
    <row r="483" ht="15.75" customHeight="1">
      <c r="A483" s="4"/>
      <c r="B483" s="4"/>
      <c r="C483" s="4"/>
      <c r="D483" s="4"/>
      <c r="E483" s="4"/>
      <c r="F483" s="4"/>
    </row>
    <row r="484" ht="15.75" customHeight="1">
      <c r="A484" s="4"/>
      <c r="B484" s="4"/>
      <c r="C484" s="4"/>
      <c r="D484" s="4"/>
      <c r="E484" s="4"/>
      <c r="F484" s="4"/>
    </row>
    <row r="485" ht="15.75" customHeight="1">
      <c r="A485" s="4"/>
      <c r="B485" s="4"/>
      <c r="C485" s="4"/>
      <c r="D485" s="4"/>
      <c r="E485" s="4"/>
      <c r="F485" s="4"/>
    </row>
    <row r="486" ht="15.75" customHeight="1">
      <c r="A486" s="4"/>
      <c r="B486" s="4"/>
      <c r="C486" s="4"/>
      <c r="D486" s="4"/>
      <c r="E486" s="4"/>
      <c r="F486" s="4"/>
    </row>
    <row r="487" ht="15.75" customHeight="1">
      <c r="A487" s="4"/>
      <c r="B487" s="4"/>
      <c r="C487" s="4"/>
      <c r="D487" s="4"/>
      <c r="E487" s="4"/>
      <c r="F487" s="4"/>
    </row>
    <row r="488" ht="15.75" customHeight="1">
      <c r="A488" s="4"/>
      <c r="B488" s="4"/>
      <c r="C488" s="4"/>
      <c r="D488" s="4"/>
      <c r="E488" s="4"/>
      <c r="F488" s="4"/>
    </row>
    <row r="489" ht="15.75" customHeight="1">
      <c r="A489" s="4"/>
      <c r="B489" s="4"/>
      <c r="C489" s="4"/>
      <c r="D489" s="4"/>
      <c r="E489" s="4"/>
      <c r="F489" s="4"/>
    </row>
    <row r="490" ht="15.75" customHeight="1">
      <c r="A490" s="4"/>
      <c r="B490" s="4"/>
      <c r="C490" s="4"/>
      <c r="D490" s="4"/>
      <c r="E490" s="4"/>
      <c r="F490" s="4"/>
    </row>
    <row r="491" ht="15.75" customHeight="1">
      <c r="A491" s="4"/>
      <c r="B491" s="4"/>
      <c r="C491" s="4"/>
      <c r="D491" s="4"/>
      <c r="E491" s="4"/>
      <c r="F491" s="4"/>
    </row>
    <row r="492" ht="15.75" customHeight="1">
      <c r="A492" s="4"/>
      <c r="B492" s="4"/>
      <c r="C492" s="4"/>
      <c r="D492" s="4"/>
      <c r="E492" s="4"/>
      <c r="F492" s="4"/>
    </row>
    <row r="493" ht="15.75" customHeight="1">
      <c r="A493" s="4"/>
      <c r="B493" s="4"/>
      <c r="C493" s="4"/>
      <c r="D493" s="4"/>
      <c r="E493" s="4"/>
      <c r="F493" s="4"/>
    </row>
    <row r="494" ht="15.75" customHeight="1">
      <c r="A494" s="4"/>
      <c r="B494" s="4"/>
      <c r="C494" s="4"/>
      <c r="D494" s="4"/>
      <c r="E494" s="4"/>
      <c r="F494" s="4"/>
    </row>
    <row r="495" ht="15.75" customHeight="1">
      <c r="A495" s="4"/>
      <c r="B495" s="4"/>
      <c r="C495" s="4"/>
      <c r="D495" s="4"/>
      <c r="E495" s="4"/>
      <c r="F495" s="4"/>
    </row>
    <row r="496" ht="15.75" customHeight="1">
      <c r="A496" s="4"/>
      <c r="B496" s="4"/>
      <c r="C496" s="4"/>
      <c r="D496" s="4"/>
      <c r="E496" s="4"/>
      <c r="F496" s="4"/>
    </row>
    <row r="497" ht="15.75" customHeight="1">
      <c r="A497" s="4"/>
      <c r="B497" s="4"/>
      <c r="C497" s="4"/>
      <c r="D497" s="4"/>
      <c r="E497" s="4"/>
      <c r="F497" s="4"/>
    </row>
    <row r="498" ht="15.75" customHeight="1">
      <c r="A498" s="4"/>
      <c r="B498" s="4"/>
      <c r="C498" s="4"/>
      <c r="D498" s="4"/>
      <c r="E498" s="4"/>
      <c r="F498" s="4"/>
    </row>
    <row r="499" ht="15.75" customHeight="1">
      <c r="A499" s="4"/>
      <c r="B499" s="4"/>
      <c r="C499" s="4"/>
      <c r="D499" s="4"/>
      <c r="E499" s="4"/>
      <c r="F499" s="4"/>
    </row>
    <row r="500" ht="15.75" customHeight="1">
      <c r="A500" s="4"/>
      <c r="B500" s="4"/>
      <c r="C500" s="4"/>
      <c r="D500" s="4"/>
      <c r="E500" s="4"/>
      <c r="F500" s="4"/>
    </row>
    <row r="501" ht="15.75" customHeight="1">
      <c r="A501" s="4"/>
      <c r="B501" s="4"/>
      <c r="C501" s="4"/>
      <c r="D501" s="4"/>
      <c r="E501" s="4"/>
      <c r="F501" s="4"/>
    </row>
    <row r="502" ht="15.75" customHeight="1">
      <c r="A502" s="4"/>
      <c r="B502" s="4"/>
      <c r="C502" s="4"/>
      <c r="D502" s="4"/>
      <c r="E502" s="4"/>
      <c r="F502" s="4"/>
    </row>
    <row r="503" ht="15.75" customHeight="1">
      <c r="A503" s="4"/>
      <c r="B503" s="4"/>
      <c r="C503" s="4"/>
      <c r="D503" s="4"/>
      <c r="E503" s="4"/>
      <c r="F503" s="4"/>
    </row>
    <row r="504" ht="15.75" customHeight="1">
      <c r="A504" s="4"/>
      <c r="B504" s="4"/>
      <c r="C504" s="4"/>
      <c r="D504" s="4"/>
      <c r="E504" s="4"/>
      <c r="F504" s="4"/>
    </row>
    <row r="505" ht="15.75" customHeight="1">
      <c r="A505" s="4"/>
      <c r="B505" s="4"/>
      <c r="C505" s="4"/>
      <c r="D505" s="4"/>
      <c r="E505" s="4"/>
      <c r="F505" s="4"/>
    </row>
    <row r="506" ht="15.75" customHeight="1">
      <c r="A506" s="4"/>
      <c r="B506" s="4"/>
      <c r="C506" s="4"/>
      <c r="D506" s="4"/>
      <c r="E506" s="4"/>
      <c r="F506" s="4"/>
    </row>
    <row r="507" ht="15.75" customHeight="1">
      <c r="A507" s="4"/>
      <c r="B507" s="4"/>
      <c r="C507" s="4"/>
      <c r="D507" s="4"/>
      <c r="E507" s="4"/>
      <c r="F507" s="4"/>
    </row>
    <row r="508" ht="15.75" customHeight="1">
      <c r="A508" s="4"/>
      <c r="B508" s="4"/>
      <c r="C508" s="4"/>
      <c r="D508" s="4"/>
      <c r="E508" s="4"/>
      <c r="F508" s="4"/>
    </row>
    <row r="509" ht="15.75" customHeight="1">
      <c r="A509" s="4"/>
      <c r="B509" s="4"/>
      <c r="C509" s="4"/>
      <c r="D509" s="4"/>
      <c r="E509" s="4"/>
      <c r="F509" s="4"/>
    </row>
    <row r="510" ht="15.75" customHeight="1">
      <c r="A510" s="4"/>
      <c r="B510" s="4"/>
      <c r="C510" s="4"/>
      <c r="D510" s="4"/>
      <c r="E510" s="4"/>
      <c r="F510" s="4"/>
    </row>
    <row r="511" ht="15.75" customHeight="1">
      <c r="A511" s="4"/>
      <c r="B511" s="4"/>
      <c r="C511" s="4"/>
      <c r="D511" s="4"/>
      <c r="E511" s="4"/>
      <c r="F511" s="4"/>
    </row>
    <row r="512" ht="15.75" customHeight="1">
      <c r="A512" s="4"/>
      <c r="B512" s="4"/>
      <c r="C512" s="4"/>
      <c r="D512" s="4"/>
      <c r="E512" s="4"/>
      <c r="F512" s="4"/>
    </row>
    <row r="513" ht="15.75" customHeight="1">
      <c r="A513" s="4"/>
      <c r="B513" s="4"/>
      <c r="C513" s="4"/>
      <c r="D513" s="4"/>
      <c r="E513" s="4"/>
      <c r="F513" s="4"/>
    </row>
    <row r="514" ht="15.75" customHeight="1">
      <c r="A514" s="4"/>
      <c r="B514" s="4"/>
      <c r="C514" s="4"/>
      <c r="D514" s="4"/>
      <c r="E514" s="4"/>
      <c r="F514" s="4"/>
    </row>
    <row r="515" ht="15.75" customHeight="1">
      <c r="A515" s="4"/>
      <c r="B515" s="4"/>
      <c r="C515" s="4"/>
      <c r="D515" s="4"/>
      <c r="E515" s="4"/>
      <c r="F515" s="4"/>
    </row>
    <row r="516" ht="15.75" customHeight="1">
      <c r="A516" s="4"/>
      <c r="B516" s="4"/>
      <c r="C516" s="4"/>
      <c r="D516" s="4"/>
      <c r="E516" s="4"/>
      <c r="F516" s="4"/>
    </row>
    <row r="517" ht="15.75" customHeight="1">
      <c r="A517" s="4"/>
      <c r="B517" s="4"/>
      <c r="C517" s="4"/>
      <c r="D517" s="4"/>
      <c r="E517" s="4"/>
      <c r="F517" s="4"/>
    </row>
    <row r="518" ht="15.75" customHeight="1">
      <c r="A518" s="4"/>
      <c r="B518" s="4"/>
      <c r="C518" s="4"/>
      <c r="D518" s="4"/>
      <c r="E518" s="4"/>
      <c r="F518" s="4"/>
    </row>
    <row r="519" ht="15.75" customHeight="1">
      <c r="A519" s="4"/>
      <c r="B519" s="4"/>
      <c r="C519" s="4"/>
      <c r="D519" s="4"/>
      <c r="E519" s="4"/>
      <c r="F519" s="4"/>
    </row>
    <row r="520" ht="15.75" customHeight="1">
      <c r="A520" s="4"/>
      <c r="B520" s="4"/>
      <c r="C520" s="4"/>
      <c r="D520" s="4"/>
      <c r="E520" s="4"/>
      <c r="F520" s="4"/>
    </row>
    <row r="521" ht="15.75" customHeight="1">
      <c r="A521" s="4"/>
      <c r="B521" s="4"/>
      <c r="C521" s="4"/>
      <c r="D521" s="4"/>
      <c r="E521" s="4"/>
      <c r="F521" s="4"/>
    </row>
    <row r="522" ht="15.75" customHeight="1">
      <c r="A522" s="4"/>
      <c r="B522" s="4"/>
      <c r="C522" s="4"/>
      <c r="D522" s="4"/>
      <c r="E522" s="4"/>
      <c r="F522" s="4"/>
    </row>
    <row r="523" ht="15.75" customHeight="1">
      <c r="A523" s="4"/>
      <c r="B523" s="4"/>
      <c r="C523" s="4"/>
      <c r="D523" s="4"/>
      <c r="E523" s="4"/>
      <c r="F523" s="4"/>
    </row>
    <row r="524" ht="15.75" customHeight="1">
      <c r="A524" s="4"/>
      <c r="B524" s="4"/>
      <c r="C524" s="4"/>
      <c r="D524" s="4"/>
      <c r="E524" s="4"/>
      <c r="F524" s="4"/>
    </row>
    <row r="525" ht="15.75" customHeight="1">
      <c r="A525" s="4"/>
      <c r="B525" s="4"/>
      <c r="C525" s="4"/>
      <c r="D525" s="4"/>
      <c r="E525" s="4"/>
      <c r="F525" s="4"/>
    </row>
    <row r="526" ht="15.75" customHeight="1">
      <c r="A526" s="4"/>
      <c r="B526" s="4"/>
      <c r="C526" s="4"/>
      <c r="D526" s="4"/>
      <c r="E526" s="4"/>
      <c r="F526" s="4"/>
    </row>
    <row r="527" ht="15.75" customHeight="1">
      <c r="A527" s="4"/>
      <c r="B527" s="4"/>
      <c r="C527" s="4"/>
      <c r="D527" s="4"/>
      <c r="E527" s="4"/>
      <c r="F527" s="4"/>
    </row>
    <row r="528" ht="15.75" customHeight="1">
      <c r="A528" s="4"/>
      <c r="B528" s="4"/>
      <c r="C528" s="4"/>
      <c r="D528" s="4"/>
      <c r="E528" s="4"/>
      <c r="F528" s="4"/>
    </row>
    <row r="529" ht="15.75" customHeight="1">
      <c r="A529" s="4"/>
      <c r="B529" s="4"/>
      <c r="C529" s="4"/>
      <c r="D529" s="4"/>
      <c r="E529" s="4"/>
      <c r="F529" s="4"/>
    </row>
    <row r="530" ht="15.75" customHeight="1">
      <c r="A530" s="4"/>
      <c r="B530" s="4"/>
      <c r="C530" s="4"/>
      <c r="D530" s="4"/>
      <c r="E530" s="4"/>
      <c r="F530" s="4"/>
    </row>
    <row r="531" ht="15.75" customHeight="1">
      <c r="A531" s="4"/>
      <c r="B531" s="4"/>
      <c r="C531" s="4"/>
      <c r="D531" s="4"/>
      <c r="E531" s="4"/>
      <c r="F531" s="4"/>
    </row>
    <row r="532" ht="15.75" customHeight="1">
      <c r="A532" s="4"/>
      <c r="B532" s="4"/>
      <c r="C532" s="4"/>
      <c r="D532" s="4"/>
      <c r="E532" s="4"/>
      <c r="F532" s="4"/>
    </row>
    <row r="533" ht="15.75" customHeight="1">
      <c r="A533" s="4"/>
      <c r="B533" s="4"/>
      <c r="C533" s="4"/>
      <c r="D533" s="4"/>
      <c r="E533" s="4"/>
      <c r="F533" s="4"/>
    </row>
    <row r="534" ht="15.75" customHeight="1">
      <c r="A534" s="4"/>
      <c r="B534" s="4"/>
      <c r="C534" s="4"/>
      <c r="D534" s="4"/>
      <c r="E534" s="4"/>
      <c r="F534" s="4"/>
    </row>
    <row r="535" ht="15.75" customHeight="1">
      <c r="A535" s="4"/>
      <c r="B535" s="4"/>
      <c r="C535" s="4"/>
      <c r="D535" s="4"/>
      <c r="E535" s="4"/>
      <c r="F535" s="4"/>
    </row>
    <row r="536" ht="15.75" customHeight="1">
      <c r="A536" s="4"/>
      <c r="B536" s="4"/>
      <c r="C536" s="4"/>
      <c r="D536" s="4"/>
      <c r="E536" s="4"/>
      <c r="F536" s="4"/>
    </row>
    <row r="537" ht="15.75" customHeight="1">
      <c r="A537" s="4"/>
      <c r="B537" s="4"/>
      <c r="C537" s="4"/>
      <c r="D537" s="4"/>
      <c r="E537" s="4"/>
      <c r="F537" s="4"/>
    </row>
    <row r="538" ht="15.75" customHeight="1">
      <c r="A538" s="4"/>
      <c r="B538" s="4"/>
      <c r="C538" s="4"/>
      <c r="D538" s="4"/>
      <c r="E538" s="4"/>
      <c r="F538" s="4"/>
    </row>
    <row r="539" ht="15.75" customHeight="1">
      <c r="A539" s="4"/>
      <c r="B539" s="4"/>
      <c r="C539" s="4"/>
      <c r="D539" s="4"/>
      <c r="E539" s="4"/>
      <c r="F539" s="4"/>
    </row>
    <row r="540" ht="15.75" customHeight="1">
      <c r="A540" s="4"/>
      <c r="B540" s="4"/>
      <c r="C540" s="4"/>
      <c r="D540" s="4"/>
      <c r="E540" s="4"/>
      <c r="F540" s="4"/>
    </row>
    <row r="541" ht="15.75" customHeight="1">
      <c r="A541" s="4"/>
      <c r="B541" s="4"/>
      <c r="C541" s="4"/>
      <c r="D541" s="4"/>
      <c r="E541" s="4"/>
      <c r="F541" s="4"/>
    </row>
    <row r="542" ht="15.75" customHeight="1">
      <c r="A542" s="4"/>
      <c r="B542" s="4"/>
      <c r="C542" s="4"/>
      <c r="D542" s="4"/>
      <c r="E542" s="4"/>
      <c r="F542" s="4"/>
    </row>
    <row r="543" ht="15.75" customHeight="1">
      <c r="A543" s="4"/>
      <c r="B543" s="4"/>
      <c r="C543" s="4"/>
      <c r="D543" s="4"/>
      <c r="E543" s="4"/>
      <c r="F543" s="4"/>
    </row>
    <row r="544" ht="15.75" customHeight="1">
      <c r="A544" s="4"/>
      <c r="B544" s="4"/>
      <c r="C544" s="4"/>
      <c r="D544" s="4"/>
      <c r="E544" s="4"/>
      <c r="F544" s="4"/>
    </row>
    <row r="545" ht="15.75" customHeight="1">
      <c r="A545" s="4"/>
      <c r="B545" s="4"/>
      <c r="C545" s="4"/>
      <c r="D545" s="4"/>
      <c r="E545" s="4"/>
      <c r="F545" s="4"/>
    </row>
    <row r="546" ht="15.75" customHeight="1">
      <c r="A546" s="4"/>
      <c r="B546" s="4"/>
      <c r="C546" s="4"/>
      <c r="D546" s="4"/>
      <c r="E546" s="4"/>
      <c r="F546" s="4"/>
    </row>
    <row r="547" ht="15.75" customHeight="1">
      <c r="A547" s="4"/>
      <c r="B547" s="4"/>
      <c r="C547" s="4"/>
      <c r="D547" s="4"/>
      <c r="E547" s="4"/>
      <c r="F547" s="4"/>
    </row>
    <row r="548" ht="15.75" customHeight="1">
      <c r="A548" s="4"/>
      <c r="B548" s="4"/>
      <c r="C548" s="4"/>
      <c r="D548" s="4"/>
      <c r="E548" s="4"/>
      <c r="F548" s="4"/>
    </row>
    <row r="549" ht="15.75" customHeight="1">
      <c r="A549" s="4"/>
      <c r="B549" s="4"/>
      <c r="C549" s="4"/>
      <c r="D549" s="4"/>
      <c r="E549" s="4"/>
      <c r="F549" s="4"/>
    </row>
    <row r="550" ht="15.75" customHeight="1">
      <c r="A550" s="4"/>
      <c r="B550" s="4"/>
      <c r="C550" s="4"/>
      <c r="D550" s="4"/>
      <c r="E550" s="4"/>
      <c r="F550" s="4"/>
    </row>
    <row r="551" ht="15.75" customHeight="1">
      <c r="A551" s="4"/>
      <c r="B551" s="4"/>
      <c r="C551" s="4"/>
      <c r="D551" s="4"/>
      <c r="E551" s="4"/>
      <c r="F551" s="4"/>
    </row>
    <row r="552" ht="15.75" customHeight="1">
      <c r="A552" s="4"/>
      <c r="B552" s="4"/>
      <c r="C552" s="4"/>
      <c r="D552" s="4"/>
      <c r="E552" s="4"/>
      <c r="F552" s="4"/>
    </row>
    <row r="553" ht="15.75" customHeight="1">
      <c r="A553" s="4"/>
      <c r="B553" s="4"/>
      <c r="C553" s="4"/>
      <c r="D553" s="4"/>
      <c r="E553" s="4"/>
      <c r="F553" s="4"/>
    </row>
    <row r="554" ht="15.75" customHeight="1">
      <c r="A554" s="4"/>
      <c r="B554" s="4"/>
      <c r="C554" s="4"/>
      <c r="D554" s="4"/>
      <c r="E554" s="4"/>
      <c r="F554" s="4"/>
    </row>
    <row r="555" ht="15.75" customHeight="1">
      <c r="A555" s="4"/>
      <c r="B555" s="4"/>
      <c r="C555" s="4"/>
      <c r="D555" s="4"/>
      <c r="E555" s="4"/>
      <c r="F555" s="4"/>
    </row>
    <row r="556" ht="15.75" customHeight="1">
      <c r="A556" s="4"/>
      <c r="B556" s="4"/>
      <c r="C556" s="4"/>
      <c r="D556" s="4"/>
      <c r="E556" s="4"/>
      <c r="F556" s="4"/>
    </row>
    <row r="557" ht="15.75" customHeight="1">
      <c r="A557" s="4"/>
      <c r="B557" s="4"/>
      <c r="C557" s="4"/>
      <c r="D557" s="4"/>
      <c r="E557" s="4"/>
      <c r="F557" s="4"/>
    </row>
    <row r="558" ht="15.75" customHeight="1">
      <c r="A558" s="4"/>
      <c r="B558" s="4"/>
      <c r="C558" s="4"/>
      <c r="D558" s="4"/>
      <c r="E558" s="4"/>
      <c r="F558" s="4"/>
    </row>
    <row r="559" ht="15.75" customHeight="1">
      <c r="A559" s="4"/>
      <c r="B559" s="4"/>
      <c r="C559" s="4"/>
      <c r="D559" s="4"/>
      <c r="E559" s="4"/>
      <c r="F559" s="4"/>
    </row>
    <row r="560" ht="15.75" customHeight="1">
      <c r="A560" s="4"/>
      <c r="B560" s="4"/>
      <c r="C560" s="4"/>
      <c r="D560" s="4"/>
      <c r="E560" s="4"/>
      <c r="F560" s="4"/>
    </row>
    <row r="561" ht="15.75" customHeight="1">
      <c r="A561" s="4"/>
      <c r="B561" s="4"/>
      <c r="C561" s="4"/>
      <c r="D561" s="4"/>
      <c r="E561" s="4"/>
      <c r="F561" s="4"/>
    </row>
    <row r="562" ht="15.75" customHeight="1">
      <c r="A562" s="4"/>
      <c r="B562" s="4"/>
      <c r="C562" s="4"/>
      <c r="D562" s="4"/>
      <c r="E562" s="4"/>
      <c r="F562" s="4"/>
    </row>
    <row r="563" ht="15.75" customHeight="1">
      <c r="A563" s="4"/>
      <c r="B563" s="4"/>
      <c r="C563" s="4"/>
      <c r="D563" s="4"/>
      <c r="E563" s="4"/>
      <c r="F563" s="4"/>
    </row>
    <row r="564" ht="15.75" customHeight="1">
      <c r="A564" s="4"/>
      <c r="B564" s="4"/>
      <c r="C564" s="4"/>
      <c r="D564" s="4"/>
      <c r="E564" s="4"/>
      <c r="F564" s="4"/>
    </row>
    <row r="565" ht="15.75" customHeight="1">
      <c r="A565" s="4"/>
      <c r="B565" s="4"/>
      <c r="C565" s="4"/>
      <c r="D565" s="4"/>
      <c r="E565" s="4"/>
      <c r="F565" s="4"/>
    </row>
    <row r="566" ht="15.75" customHeight="1">
      <c r="A566" s="4"/>
      <c r="B566" s="4"/>
      <c r="C566" s="4"/>
      <c r="D566" s="4"/>
      <c r="E566" s="4"/>
      <c r="F566" s="4"/>
    </row>
    <row r="567" ht="15.75" customHeight="1">
      <c r="A567" s="4"/>
      <c r="B567" s="4"/>
      <c r="C567" s="4"/>
      <c r="D567" s="4"/>
      <c r="E567" s="4"/>
      <c r="F567" s="4"/>
    </row>
    <row r="568" ht="15.75" customHeight="1">
      <c r="A568" s="4"/>
      <c r="B568" s="4"/>
      <c r="C568" s="4"/>
      <c r="D568" s="4"/>
      <c r="E568" s="4"/>
      <c r="F568" s="4"/>
    </row>
    <row r="569" ht="15.75" customHeight="1">
      <c r="A569" s="4"/>
      <c r="B569" s="4"/>
      <c r="C569" s="4"/>
      <c r="D569" s="4"/>
      <c r="E569" s="4"/>
      <c r="F569" s="4"/>
    </row>
    <row r="570" ht="15.75" customHeight="1">
      <c r="A570" s="4"/>
      <c r="B570" s="4"/>
      <c r="C570" s="4"/>
      <c r="D570" s="4"/>
      <c r="E570" s="4"/>
      <c r="F570" s="4"/>
    </row>
    <row r="571" ht="15.75" customHeight="1">
      <c r="A571" s="4"/>
      <c r="B571" s="4"/>
      <c r="C571" s="4"/>
      <c r="D571" s="4"/>
      <c r="E571" s="4"/>
      <c r="F571" s="4"/>
    </row>
    <row r="572" ht="15.75" customHeight="1">
      <c r="A572" s="4"/>
      <c r="B572" s="4"/>
      <c r="C572" s="4"/>
      <c r="D572" s="4"/>
      <c r="E572" s="4"/>
      <c r="F572" s="4"/>
    </row>
    <row r="573" ht="15.75" customHeight="1">
      <c r="A573" s="4"/>
      <c r="B573" s="4"/>
      <c r="C573" s="4"/>
      <c r="D573" s="4"/>
      <c r="E573" s="4"/>
      <c r="F573" s="4"/>
    </row>
    <row r="574" ht="15.75" customHeight="1">
      <c r="A574" s="4"/>
      <c r="B574" s="4"/>
      <c r="C574" s="4"/>
      <c r="D574" s="4"/>
      <c r="E574" s="4"/>
      <c r="F574" s="4"/>
    </row>
    <row r="575" ht="15.75" customHeight="1">
      <c r="A575" s="4"/>
      <c r="B575" s="4"/>
      <c r="C575" s="4"/>
      <c r="D575" s="4"/>
      <c r="E575" s="4"/>
      <c r="F575" s="4"/>
    </row>
    <row r="576" ht="15.75" customHeight="1">
      <c r="A576" s="4"/>
      <c r="B576" s="4"/>
      <c r="C576" s="4"/>
      <c r="D576" s="4"/>
      <c r="E576" s="4"/>
      <c r="F576" s="4"/>
    </row>
    <row r="577" ht="15.75" customHeight="1">
      <c r="A577" s="4"/>
      <c r="B577" s="4"/>
      <c r="C577" s="4"/>
      <c r="D577" s="4"/>
      <c r="E577" s="4"/>
      <c r="F577" s="4"/>
    </row>
    <row r="578" ht="15.75" customHeight="1">
      <c r="A578" s="4"/>
      <c r="B578" s="4"/>
      <c r="C578" s="4"/>
      <c r="D578" s="4"/>
      <c r="E578" s="4"/>
      <c r="F578" s="4"/>
    </row>
    <row r="579" ht="15.75" customHeight="1">
      <c r="A579" s="4"/>
      <c r="B579" s="4"/>
      <c r="C579" s="4"/>
      <c r="D579" s="4"/>
      <c r="E579" s="4"/>
      <c r="F579" s="4"/>
    </row>
    <row r="580" ht="15.75" customHeight="1">
      <c r="A580" s="4"/>
      <c r="B580" s="4"/>
      <c r="C580" s="4"/>
      <c r="D580" s="4"/>
      <c r="E580" s="4"/>
      <c r="F580" s="4"/>
    </row>
    <row r="581" ht="15.75" customHeight="1">
      <c r="A581" s="4"/>
      <c r="B581" s="4"/>
      <c r="C581" s="4"/>
      <c r="D581" s="4"/>
      <c r="E581" s="4"/>
      <c r="F581" s="4"/>
    </row>
    <row r="582" ht="15.75" customHeight="1">
      <c r="A582" s="4"/>
      <c r="B582" s="4"/>
      <c r="C582" s="4"/>
      <c r="D582" s="4"/>
      <c r="E582" s="4"/>
      <c r="F582" s="4"/>
    </row>
    <row r="583" ht="15.75" customHeight="1">
      <c r="A583" s="4"/>
      <c r="B583" s="4"/>
      <c r="C583" s="4"/>
      <c r="D583" s="4"/>
      <c r="E583" s="4"/>
      <c r="F583" s="4"/>
    </row>
    <row r="584" ht="15.75" customHeight="1">
      <c r="A584" s="4"/>
      <c r="B584" s="4"/>
      <c r="C584" s="4"/>
      <c r="D584" s="4"/>
      <c r="E584" s="4"/>
      <c r="F584" s="4"/>
    </row>
    <row r="585" ht="15.75" customHeight="1">
      <c r="A585" s="4"/>
      <c r="B585" s="4"/>
      <c r="C585" s="4"/>
      <c r="D585" s="4"/>
      <c r="E585" s="4"/>
      <c r="F585" s="4"/>
    </row>
    <row r="586" ht="15.75" customHeight="1">
      <c r="A586" s="4"/>
      <c r="B586" s="4"/>
      <c r="C586" s="4"/>
      <c r="D586" s="4"/>
      <c r="E586" s="4"/>
      <c r="F586" s="4"/>
    </row>
    <row r="587" ht="15.75" customHeight="1">
      <c r="A587" s="4"/>
      <c r="B587" s="4"/>
      <c r="C587" s="4"/>
      <c r="D587" s="4"/>
      <c r="E587" s="4"/>
      <c r="F587" s="4"/>
    </row>
    <row r="588" ht="15.75" customHeight="1">
      <c r="A588" s="4"/>
      <c r="B588" s="4"/>
      <c r="C588" s="4"/>
      <c r="D588" s="4"/>
      <c r="E588" s="4"/>
      <c r="F588" s="4"/>
    </row>
    <row r="589" ht="15.75" customHeight="1">
      <c r="A589" s="4"/>
      <c r="B589" s="4"/>
      <c r="C589" s="4"/>
      <c r="D589" s="4"/>
      <c r="E589" s="4"/>
      <c r="F589" s="4"/>
    </row>
    <row r="590" ht="15.75" customHeight="1">
      <c r="A590" s="4"/>
      <c r="B590" s="4"/>
      <c r="C590" s="4"/>
      <c r="D590" s="4"/>
      <c r="E590" s="4"/>
      <c r="F590" s="4"/>
    </row>
    <row r="591" ht="15.75" customHeight="1">
      <c r="A591" s="4"/>
      <c r="B591" s="4"/>
      <c r="C591" s="4"/>
      <c r="D591" s="4"/>
      <c r="E591" s="4"/>
      <c r="F591" s="4"/>
    </row>
    <row r="592" ht="15.75" customHeight="1">
      <c r="A592" s="4"/>
      <c r="B592" s="4"/>
      <c r="C592" s="4"/>
      <c r="D592" s="4"/>
      <c r="E592" s="4"/>
      <c r="F592" s="4"/>
    </row>
    <row r="593" ht="15.75" customHeight="1">
      <c r="A593" s="4"/>
      <c r="B593" s="4"/>
      <c r="C593" s="4"/>
      <c r="D593" s="4"/>
      <c r="E593" s="4"/>
      <c r="F593" s="4"/>
    </row>
    <row r="594" ht="15.75" customHeight="1">
      <c r="A594" s="4"/>
      <c r="B594" s="4"/>
      <c r="C594" s="4"/>
      <c r="D594" s="4"/>
      <c r="E594" s="4"/>
      <c r="F594" s="4"/>
    </row>
    <row r="595" ht="15.75" customHeight="1">
      <c r="A595" s="4"/>
      <c r="B595" s="4"/>
      <c r="C595" s="4"/>
      <c r="D595" s="4"/>
      <c r="E595" s="4"/>
      <c r="F595" s="4"/>
    </row>
    <row r="596" ht="15.75" customHeight="1">
      <c r="A596" s="4"/>
      <c r="B596" s="4"/>
      <c r="C596" s="4"/>
      <c r="D596" s="4"/>
      <c r="E596" s="4"/>
      <c r="F596" s="4"/>
    </row>
    <row r="597" ht="15.75" customHeight="1">
      <c r="A597" s="4"/>
      <c r="B597" s="4"/>
      <c r="C597" s="4"/>
      <c r="D597" s="4"/>
      <c r="E597" s="4"/>
      <c r="F597" s="4"/>
    </row>
    <row r="598" ht="15.75" customHeight="1">
      <c r="A598" s="4"/>
      <c r="B598" s="4"/>
      <c r="C598" s="4"/>
      <c r="D598" s="4"/>
      <c r="E598" s="4"/>
      <c r="F598" s="4"/>
    </row>
    <row r="599" ht="15.75" customHeight="1">
      <c r="A599" s="4"/>
      <c r="B599" s="4"/>
      <c r="C599" s="4"/>
      <c r="D599" s="4"/>
      <c r="E599" s="4"/>
      <c r="F599" s="4"/>
    </row>
    <row r="600" ht="15.75" customHeight="1">
      <c r="A600" s="4"/>
      <c r="B600" s="4"/>
      <c r="C600" s="4"/>
      <c r="D600" s="4"/>
      <c r="E600" s="4"/>
      <c r="F600" s="4"/>
    </row>
    <row r="601" ht="15.75" customHeight="1">
      <c r="A601" s="4"/>
      <c r="B601" s="4"/>
      <c r="C601" s="4"/>
      <c r="D601" s="4"/>
      <c r="E601" s="4"/>
      <c r="F601" s="4"/>
    </row>
    <row r="602" ht="15.75" customHeight="1">
      <c r="A602" s="4"/>
      <c r="B602" s="4"/>
      <c r="C602" s="4"/>
      <c r="D602" s="4"/>
      <c r="E602" s="4"/>
      <c r="F602" s="4"/>
    </row>
    <row r="603" ht="15.75" customHeight="1">
      <c r="A603" s="4"/>
      <c r="B603" s="4"/>
      <c r="C603" s="4"/>
      <c r="D603" s="4"/>
      <c r="E603" s="4"/>
      <c r="F603" s="4"/>
    </row>
    <row r="604" ht="15.75" customHeight="1">
      <c r="A604" s="4"/>
      <c r="B604" s="4"/>
      <c r="C604" s="4"/>
      <c r="D604" s="4"/>
      <c r="E604" s="4"/>
      <c r="F604" s="4"/>
    </row>
    <row r="605" ht="15.75" customHeight="1">
      <c r="A605" s="4"/>
      <c r="B605" s="4"/>
      <c r="C605" s="4"/>
      <c r="D605" s="4"/>
      <c r="E605" s="4"/>
      <c r="F605" s="4"/>
    </row>
    <row r="606" ht="15.75" customHeight="1">
      <c r="A606" s="4"/>
      <c r="B606" s="4"/>
      <c r="C606" s="4"/>
      <c r="D606" s="4"/>
      <c r="E606" s="4"/>
      <c r="F606" s="4"/>
    </row>
    <row r="607" ht="15.75" customHeight="1">
      <c r="A607" s="4"/>
      <c r="B607" s="4"/>
      <c r="C607" s="4"/>
      <c r="D607" s="4"/>
      <c r="E607" s="4"/>
      <c r="F607" s="4"/>
    </row>
    <row r="608" ht="15.75" customHeight="1">
      <c r="A608" s="4"/>
      <c r="B608" s="4"/>
      <c r="C608" s="4"/>
      <c r="D608" s="4"/>
      <c r="E608" s="4"/>
      <c r="F608" s="4"/>
    </row>
    <row r="609" ht="15.75" customHeight="1">
      <c r="A609" s="4"/>
      <c r="B609" s="4"/>
      <c r="C609" s="4"/>
      <c r="D609" s="4"/>
      <c r="E609" s="4"/>
      <c r="F609" s="4"/>
    </row>
    <row r="610" ht="15.75" customHeight="1">
      <c r="A610" s="4"/>
      <c r="B610" s="4"/>
      <c r="C610" s="4"/>
      <c r="D610" s="4"/>
      <c r="E610" s="4"/>
      <c r="F610" s="4"/>
    </row>
    <row r="611" ht="15.75" customHeight="1">
      <c r="A611" s="4"/>
      <c r="B611" s="4"/>
      <c r="C611" s="4"/>
      <c r="D611" s="4"/>
      <c r="E611" s="4"/>
      <c r="F611" s="4"/>
    </row>
    <row r="612" ht="15.75" customHeight="1">
      <c r="A612" s="4"/>
      <c r="B612" s="4"/>
      <c r="C612" s="4"/>
      <c r="D612" s="4"/>
      <c r="E612" s="4"/>
      <c r="F612" s="4"/>
    </row>
    <row r="613" ht="15.75" customHeight="1">
      <c r="A613" s="4"/>
      <c r="B613" s="4"/>
      <c r="C613" s="4"/>
      <c r="D613" s="4"/>
      <c r="E613" s="4"/>
      <c r="F613" s="4"/>
    </row>
    <row r="614" ht="15.75" customHeight="1">
      <c r="A614" s="4"/>
      <c r="B614" s="4"/>
      <c r="C614" s="4"/>
      <c r="D614" s="4"/>
      <c r="E614" s="4"/>
      <c r="F614" s="4"/>
    </row>
    <row r="615" ht="15.75" customHeight="1">
      <c r="A615" s="4"/>
      <c r="B615" s="4"/>
      <c r="C615" s="4"/>
      <c r="D615" s="4"/>
      <c r="E615" s="4"/>
      <c r="F615" s="4"/>
    </row>
    <row r="616" ht="15.75" customHeight="1">
      <c r="A616" s="4"/>
      <c r="B616" s="4"/>
      <c r="C616" s="4"/>
      <c r="D616" s="4"/>
      <c r="E616" s="4"/>
      <c r="F616" s="4"/>
    </row>
    <row r="617" ht="15.75" customHeight="1">
      <c r="A617" s="4"/>
      <c r="B617" s="4"/>
      <c r="C617" s="4"/>
      <c r="D617" s="4"/>
      <c r="E617" s="4"/>
      <c r="F617" s="4"/>
    </row>
    <row r="618" ht="15.75" customHeight="1">
      <c r="A618" s="4"/>
      <c r="B618" s="4"/>
      <c r="C618" s="4"/>
      <c r="D618" s="4"/>
      <c r="E618" s="4"/>
      <c r="F618" s="4"/>
    </row>
    <row r="619" ht="15.75" customHeight="1">
      <c r="A619" s="4"/>
      <c r="B619" s="4"/>
      <c r="C619" s="4"/>
      <c r="D619" s="4"/>
      <c r="E619" s="4"/>
      <c r="F619" s="4"/>
    </row>
    <row r="620" ht="15.75" customHeight="1">
      <c r="A620" s="4"/>
      <c r="B620" s="4"/>
      <c r="C620" s="4"/>
      <c r="D620" s="4"/>
      <c r="E620" s="4"/>
      <c r="F620" s="4"/>
    </row>
    <row r="621" ht="15.75" customHeight="1">
      <c r="A621" s="4"/>
      <c r="B621" s="4"/>
      <c r="C621" s="4"/>
      <c r="D621" s="4"/>
      <c r="E621" s="4"/>
      <c r="F621" s="4"/>
    </row>
    <row r="622" ht="15.75" customHeight="1">
      <c r="A622" s="4"/>
      <c r="B622" s="4"/>
      <c r="C622" s="4"/>
      <c r="D622" s="4"/>
      <c r="E622" s="4"/>
      <c r="F622" s="4"/>
    </row>
    <row r="623" ht="15.75" customHeight="1">
      <c r="A623" s="4"/>
      <c r="B623" s="4"/>
      <c r="C623" s="4"/>
      <c r="D623" s="4"/>
      <c r="E623" s="4"/>
      <c r="F623" s="4"/>
    </row>
    <row r="624" ht="15.75" customHeight="1">
      <c r="A624" s="4"/>
      <c r="B624" s="4"/>
      <c r="C624" s="4"/>
      <c r="D624" s="4"/>
      <c r="E624" s="4"/>
      <c r="F624" s="4"/>
    </row>
    <row r="625" ht="15.75" customHeight="1">
      <c r="A625" s="4"/>
      <c r="B625" s="4"/>
      <c r="C625" s="4"/>
      <c r="D625" s="4"/>
      <c r="E625" s="4"/>
      <c r="F625" s="4"/>
    </row>
    <row r="626" ht="15.75" customHeight="1">
      <c r="A626" s="4"/>
      <c r="B626" s="4"/>
      <c r="C626" s="4"/>
      <c r="D626" s="4"/>
      <c r="E626" s="4"/>
      <c r="F626" s="4"/>
    </row>
    <row r="627" ht="15.75" customHeight="1">
      <c r="A627" s="4"/>
      <c r="B627" s="4"/>
      <c r="C627" s="4"/>
      <c r="D627" s="4"/>
      <c r="E627" s="4"/>
      <c r="F627" s="4"/>
    </row>
    <row r="628" ht="15.75" customHeight="1">
      <c r="A628" s="4"/>
      <c r="B628" s="4"/>
      <c r="C628" s="4"/>
      <c r="D628" s="4"/>
      <c r="E628" s="4"/>
      <c r="F628" s="4"/>
    </row>
    <row r="629" ht="15.75" customHeight="1">
      <c r="A629" s="4"/>
      <c r="B629" s="4"/>
      <c r="C629" s="4"/>
      <c r="D629" s="4"/>
      <c r="E629" s="4"/>
      <c r="F629" s="4"/>
    </row>
    <row r="630" ht="15.75" customHeight="1">
      <c r="A630" s="4"/>
      <c r="B630" s="4"/>
      <c r="C630" s="4"/>
      <c r="D630" s="4"/>
      <c r="E630" s="4"/>
      <c r="F630" s="4"/>
    </row>
    <row r="631" ht="15.75" customHeight="1">
      <c r="A631" s="4"/>
      <c r="B631" s="4"/>
      <c r="C631" s="4"/>
      <c r="D631" s="4"/>
      <c r="E631" s="4"/>
      <c r="F631" s="4"/>
    </row>
    <row r="632" ht="15.75" customHeight="1">
      <c r="A632" s="4"/>
      <c r="B632" s="4"/>
      <c r="C632" s="4"/>
      <c r="D632" s="4"/>
      <c r="E632" s="4"/>
      <c r="F632" s="4"/>
    </row>
    <row r="633" ht="15.75" customHeight="1">
      <c r="A633" s="4"/>
      <c r="B633" s="4"/>
      <c r="C633" s="4"/>
      <c r="D633" s="4"/>
      <c r="E633" s="4"/>
      <c r="F633" s="4"/>
    </row>
    <row r="634" ht="15.75" customHeight="1">
      <c r="A634" s="4"/>
      <c r="B634" s="4"/>
      <c r="C634" s="4"/>
      <c r="D634" s="4"/>
      <c r="E634" s="4"/>
      <c r="F634" s="4"/>
    </row>
    <row r="635" ht="15.75" customHeight="1">
      <c r="A635" s="4"/>
      <c r="B635" s="4"/>
      <c r="C635" s="4"/>
      <c r="D635" s="4"/>
      <c r="E635" s="4"/>
      <c r="F635" s="4"/>
    </row>
    <row r="636" ht="15.75" customHeight="1">
      <c r="A636" s="4"/>
      <c r="B636" s="4"/>
      <c r="C636" s="4"/>
      <c r="D636" s="4"/>
      <c r="E636" s="4"/>
      <c r="F636" s="4"/>
    </row>
    <row r="637" ht="15.75" customHeight="1">
      <c r="A637" s="4"/>
      <c r="B637" s="4"/>
      <c r="C637" s="4"/>
      <c r="D637" s="4"/>
      <c r="E637" s="4"/>
      <c r="F637" s="4"/>
    </row>
    <row r="638" ht="15.75" customHeight="1">
      <c r="A638" s="4"/>
      <c r="B638" s="4"/>
      <c r="C638" s="4"/>
      <c r="D638" s="4"/>
      <c r="E638" s="4"/>
      <c r="F638" s="4"/>
    </row>
    <row r="639" ht="15.75" customHeight="1">
      <c r="A639" s="4"/>
      <c r="B639" s="4"/>
      <c r="C639" s="4"/>
      <c r="D639" s="4"/>
      <c r="E639" s="4"/>
      <c r="F639" s="4"/>
    </row>
    <row r="640" ht="15.75" customHeight="1">
      <c r="A640" s="4"/>
      <c r="B640" s="4"/>
      <c r="C640" s="4"/>
      <c r="D640" s="4"/>
      <c r="E640" s="4"/>
      <c r="F640" s="4"/>
    </row>
    <row r="641" ht="15.75" customHeight="1">
      <c r="A641" s="4"/>
      <c r="B641" s="4"/>
      <c r="C641" s="4"/>
      <c r="D641" s="4"/>
      <c r="E641" s="4"/>
      <c r="F641" s="4"/>
    </row>
    <row r="642" ht="15.75" customHeight="1">
      <c r="A642" s="4"/>
      <c r="B642" s="4"/>
      <c r="C642" s="4"/>
      <c r="D642" s="4"/>
      <c r="E642" s="4"/>
      <c r="F642" s="4"/>
    </row>
    <row r="643" ht="15.75" customHeight="1">
      <c r="A643" s="4"/>
      <c r="B643" s="4"/>
      <c r="C643" s="4"/>
      <c r="D643" s="4"/>
      <c r="E643" s="4"/>
      <c r="F643" s="4"/>
    </row>
    <row r="644" ht="15.75" customHeight="1">
      <c r="A644" s="4"/>
      <c r="B644" s="4"/>
      <c r="C644" s="4"/>
      <c r="D644" s="4"/>
      <c r="E644" s="4"/>
      <c r="F644" s="4"/>
    </row>
    <row r="645" ht="15.75" customHeight="1">
      <c r="A645" s="4"/>
      <c r="B645" s="4"/>
      <c r="C645" s="4"/>
      <c r="D645" s="4"/>
      <c r="E645" s="4"/>
      <c r="F645" s="4"/>
    </row>
    <row r="646" ht="15.75" customHeight="1">
      <c r="A646" s="4"/>
      <c r="B646" s="4"/>
      <c r="C646" s="4"/>
      <c r="D646" s="4"/>
      <c r="E646" s="4"/>
      <c r="F646" s="4"/>
    </row>
    <row r="647" ht="15.75" customHeight="1">
      <c r="A647" s="4"/>
      <c r="B647" s="4"/>
      <c r="C647" s="4"/>
      <c r="D647" s="4"/>
      <c r="E647" s="4"/>
      <c r="F647" s="4"/>
    </row>
    <row r="648" ht="15.75" customHeight="1">
      <c r="A648" s="4"/>
      <c r="B648" s="4"/>
      <c r="C648" s="4"/>
      <c r="D648" s="4"/>
      <c r="E648" s="4"/>
      <c r="F648" s="4"/>
    </row>
    <row r="649" ht="15.75" customHeight="1">
      <c r="A649" s="4"/>
      <c r="B649" s="4"/>
      <c r="C649" s="4"/>
      <c r="D649" s="4"/>
      <c r="E649" s="4"/>
      <c r="F649" s="4"/>
    </row>
    <row r="650" ht="15.75" customHeight="1">
      <c r="A650" s="4"/>
      <c r="B650" s="4"/>
      <c r="C650" s="4"/>
      <c r="D650" s="4"/>
      <c r="E650" s="4"/>
      <c r="F650" s="4"/>
    </row>
    <row r="651" ht="15.75" customHeight="1">
      <c r="A651" s="4"/>
      <c r="B651" s="4"/>
      <c r="C651" s="4"/>
      <c r="D651" s="4"/>
      <c r="E651" s="4"/>
      <c r="F651" s="4"/>
    </row>
    <row r="652" ht="15.75" customHeight="1">
      <c r="A652" s="4"/>
      <c r="B652" s="4"/>
      <c r="C652" s="4"/>
      <c r="D652" s="4"/>
      <c r="E652" s="4"/>
      <c r="F652" s="4"/>
    </row>
    <row r="653" ht="15.75" customHeight="1">
      <c r="A653" s="4"/>
      <c r="B653" s="4"/>
      <c r="C653" s="4"/>
      <c r="D653" s="4"/>
      <c r="E653" s="4"/>
      <c r="F653" s="4"/>
    </row>
    <row r="654" ht="15.75" customHeight="1">
      <c r="A654" s="4"/>
      <c r="B654" s="4"/>
      <c r="C654" s="4"/>
      <c r="D654" s="4"/>
      <c r="E654" s="4"/>
      <c r="F654" s="4"/>
    </row>
    <row r="655" ht="15.75" customHeight="1">
      <c r="A655" s="4"/>
      <c r="B655" s="4"/>
      <c r="C655" s="4"/>
      <c r="D655" s="4"/>
      <c r="E655" s="4"/>
      <c r="F655" s="4"/>
    </row>
    <row r="656" ht="15.75" customHeight="1">
      <c r="A656" s="4"/>
      <c r="B656" s="4"/>
      <c r="C656" s="4"/>
      <c r="D656" s="4"/>
      <c r="E656" s="4"/>
      <c r="F656" s="4"/>
    </row>
    <row r="657" ht="15.75" customHeight="1">
      <c r="A657" s="4"/>
      <c r="B657" s="4"/>
      <c r="C657" s="4"/>
      <c r="D657" s="4"/>
      <c r="E657" s="4"/>
      <c r="F657" s="4"/>
    </row>
    <row r="658" ht="15.75" customHeight="1">
      <c r="A658" s="4"/>
      <c r="B658" s="4"/>
      <c r="C658" s="4"/>
      <c r="D658" s="4"/>
      <c r="E658" s="4"/>
      <c r="F658" s="4"/>
    </row>
    <row r="659" ht="15.75" customHeight="1">
      <c r="A659" s="4"/>
      <c r="B659" s="4"/>
      <c r="C659" s="4"/>
      <c r="D659" s="4"/>
      <c r="E659" s="4"/>
      <c r="F659" s="4"/>
    </row>
    <row r="660" ht="15.75" customHeight="1">
      <c r="A660" s="4"/>
      <c r="B660" s="4"/>
      <c r="C660" s="4"/>
      <c r="D660" s="4"/>
      <c r="E660" s="4"/>
      <c r="F660" s="4"/>
    </row>
    <row r="661" ht="15.75" customHeight="1">
      <c r="A661" s="4"/>
      <c r="B661" s="4"/>
      <c r="C661" s="4"/>
      <c r="D661" s="4"/>
      <c r="E661" s="4"/>
      <c r="F661" s="4"/>
    </row>
    <row r="662" ht="15.75" customHeight="1">
      <c r="A662" s="4"/>
      <c r="B662" s="4"/>
      <c r="C662" s="4"/>
      <c r="D662" s="4"/>
      <c r="E662" s="4"/>
      <c r="F662" s="4"/>
    </row>
    <row r="663" ht="15.75" customHeight="1">
      <c r="A663" s="4"/>
      <c r="B663" s="4"/>
      <c r="C663" s="4"/>
      <c r="D663" s="4"/>
      <c r="E663" s="4"/>
      <c r="F663" s="4"/>
    </row>
    <row r="664" ht="15.75" customHeight="1">
      <c r="A664" s="4"/>
      <c r="B664" s="4"/>
      <c r="C664" s="4"/>
      <c r="D664" s="4"/>
      <c r="E664" s="4"/>
      <c r="F664" s="4"/>
    </row>
    <row r="665" ht="15.75" customHeight="1">
      <c r="A665" s="4"/>
      <c r="B665" s="4"/>
      <c r="C665" s="4"/>
      <c r="D665" s="4"/>
      <c r="E665" s="4"/>
      <c r="F665" s="4"/>
    </row>
    <row r="666" ht="15.75" customHeight="1">
      <c r="A666" s="4"/>
      <c r="B666" s="4"/>
      <c r="C666" s="4"/>
      <c r="D666" s="4"/>
      <c r="E666" s="4"/>
      <c r="F666" s="4"/>
    </row>
    <row r="667" ht="15.75" customHeight="1">
      <c r="A667" s="4"/>
      <c r="B667" s="4"/>
      <c r="C667" s="4"/>
      <c r="D667" s="4"/>
      <c r="E667" s="4"/>
      <c r="F667" s="4"/>
    </row>
    <row r="668" ht="15.75" customHeight="1">
      <c r="A668" s="4"/>
      <c r="B668" s="4"/>
      <c r="C668" s="4"/>
      <c r="D668" s="4"/>
      <c r="E668" s="4"/>
      <c r="F668" s="4"/>
    </row>
    <row r="669" ht="15.75" customHeight="1">
      <c r="A669" s="4"/>
      <c r="B669" s="4"/>
      <c r="C669" s="4"/>
      <c r="D669" s="4"/>
      <c r="E669" s="4"/>
      <c r="F669" s="4"/>
    </row>
    <row r="670" ht="15.75" customHeight="1">
      <c r="A670" s="4"/>
      <c r="B670" s="4"/>
      <c r="C670" s="4"/>
      <c r="D670" s="4"/>
      <c r="E670" s="4"/>
      <c r="F670" s="4"/>
    </row>
    <row r="671" ht="15.75" customHeight="1">
      <c r="A671" s="4"/>
      <c r="B671" s="4"/>
      <c r="C671" s="4"/>
      <c r="D671" s="4"/>
      <c r="E671" s="4"/>
      <c r="F671" s="4"/>
    </row>
    <row r="672" ht="15.75" customHeight="1">
      <c r="A672" s="4"/>
      <c r="B672" s="4"/>
      <c r="C672" s="4"/>
      <c r="D672" s="4"/>
      <c r="E672" s="4"/>
      <c r="F672" s="4"/>
    </row>
    <row r="673" ht="15.75" customHeight="1">
      <c r="A673" s="4"/>
      <c r="B673" s="4"/>
      <c r="C673" s="4"/>
      <c r="D673" s="4"/>
      <c r="E673" s="4"/>
      <c r="F673" s="4"/>
    </row>
    <row r="674" ht="15.75" customHeight="1">
      <c r="A674" s="4"/>
      <c r="B674" s="4"/>
      <c r="C674" s="4"/>
      <c r="D674" s="4"/>
      <c r="E674" s="4"/>
      <c r="F674" s="4"/>
    </row>
    <row r="675" ht="15.75" customHeight="1">
      <c r="A675" s="4"/>
      <c r="B675" s="4"/>
      <c r="C675" s="4"/>
      <c r="D675" s="4"/>
      <c r="E675" s="4"/>
      <c r="F675" s="4"/>
    </row>
    <row r="676" ht="15.75" customHeight="1">
      <c r="A676" s="4"/>
      <c r="B676" s="4"/>
      <c r="C676" s="4"/>
      <c r="D676" s="4"/>
      <c r="E676" s="4"/>
      <c r="F676" s="4"/>
    </row>
    <row r="677" ht="15.75" customHeight="1">
      <c r="A677" s="4"/>
      <c r="B677" s="4"/>
      <c r="C677" s="4"/>
      <c r="D677" s="4"/>
      <c r="E677" s="4"/>
      <c r="F677" s="4"/>
    </row>
    <row r="678" ht="15.75" customHeight="1">
      <c r="A678" s="4"/>
      <c r="B678" s="4"/>
      <c r="C678" s="4"/>
      <c r="D678" s="4"/>
      <c r="E678" s="4"/>
      <c r="F678" s="4"/>
    </row>
    <row r="679" ht="15.75" customHeight="1">
      <c r="A679" s="4"/>
      <c r="B679" s="4"/>
      <c r="C679" s="4"/>
      <c r="D679" s="4"/>
      <c r="E679" s="4"/>
      <c r="F679" s="4"/>
    </row>
    <row r="680" ht="15.75" customHeight="1">
      <c r="A680" s="4"/>
      <c r="B680" s="4"/>
      <c r="C680" s="4"/>
      <c r="D680" s="4"/>
      <c r="E680" s="4"/>
      <c r="F680" s="4"/>
    </row>
    <row r="681" ht="15.75" customHeight="1">
      <c r="A681" s="4"/>
      <c r="B681" s="4"/>
      <c r="C681" s="4"/>
      <c r="D681" s="4"/>
      <c r="E681" s="4"/>
      <c r="F681" s="4"/>
    </row>
    <row r="682" ht="15.75" customHeight="1">
      <c r="A682" s="4"/>
      <c r="B682" s="4"/>
      <c r="C682" s="4"/>
      <c r="D682" s="4"/>
      <c r="E682" s="4"/>
      <c r="F682" s="4"/>
    </row>
    <row r="683" ht="15.75" customHeight="1">
      <c r="A683" s="4"/>
      <c r="B683" s="4"/>
      <c r="C683" s="4"/>
      <c r="D683" s="4"/>
      <c r="E683" s="4"/>
      <c r="F683" s="4"/>
    </row>
    <row r="684" ht="15.75" customHeight="1">
      <c r="A684" s="4"/>
      <c r="B684" s="4"/>
      <c r="C684" s="4"/>
      <c r="D684" s="4"/>
      <c r="E684" s="4"/>
      <c r="F684" s="4"/>
    </row>
    <row r="685" ht="15.75" customHeight="1">
      <c r="A685" s="4"/>
      <c r="B685" s="4"/>
      <c r="C685" s="4"/>
      <c r="D685" s="4"/>
      <c r="E685" s="4"/>
      <c r="F685" s="4"/>
    </row>
    <row r="686" ht="15.75" customHeight="1">
      <c r="A686" s="4"/>
      <c r="B686" s="4"/>
      <c r="C686" s="4"/>
      <c r="D686" s="4"/>
      <c r="E686" s="4"/>
      <c r="F686" s="4"/>
    </row>
    <row r="687" ht="15.75" customHeight="1">
      <c r="A687" s="4"/>
      <c r="B687" s="4"/>
      <c r="C687" s="4"/>
      <c r="D687" s="4"/>
      <c r="E687" s="4"/>
      <c r="F687" s="4"/>
    </row>
    <row r="688" ht="15.75" customHeight="1">
      <c r="A688" s="4"/>
      <c r="B688" s="4"/>
      <c r="C688" s="4"/>
      <c r="D688" s="4"/>
      <c r="E688" s="4"/>
      <c r="F688" s="4"/>
    </row>
    <row r="689" ht="15.75" customHeight="1">
      <c r="A689" s="4"/>
      <c r="B689" s="4"/>
      <c r="C689" s="4"/>
      <c r="D689" s="4"/>
      <c r="E689" s="4"/>
      <c r="F689" s="4"/>
    </row>
    <row r="690" ht="15.75" customHeight="1">
      <c r="A690" s="4"/>
      <c r="B690" s="4"/>
      <c r="C690" s="4"/>
      <c r="D690" s="4"/>
      <c r="E690" s="4"/>
      <c r="F690" s="4"/>
    </row>
    <row r="691" ht="15.75" customHeight="1">
      <c r="A691" s="4"/>
      <c r="B691" s="4"/>
      <c r="C691" s="4"/>
      <c r="D691" s="4"/>
      <c r="E691" s="4"/>
      <c r="F691" s="4"/>
    </row>
    <row r="692" ht="15.75" customHeight="1">
      <c r="A692" s="4"/>
      <c r="B692" s="4"/>
      <c r="C692" s="4"/>
      <c r="D692" s="4"/>
      <c r="E692" s="4"/>
      <c r="F692" s="4"/>
    </row>
    <row r="693" ht="15.75" customHeight="1">
      <c r="A693" s="4"/>
      <c r="B693" s="4"/>
      <c r="C693" s="4"/>
      <c r="D693" s="4"/>
      <c r="E693" s="4"/>
      <c r="F693" s="4"/>
    </row>
    <row r="694" ht="15.75" customHeight="1">
      <c r="A694" s="4"/>
      <c r="B694" s="4"/>
      <c r="C694" s="4"/>
      <c r="D694" s="4"/>
      <c r="E694" s="4"/>
      <c r="F694" s="4"/>
    </row>
    <row r="695" ht="15.75" customHeight="1">
      <c r="A695" s="4"/>
      <c r="B695" s="4"/>
      <c r="C695" s="4"/>
      <c r="D695" s="4"/>
      <c r="E695" s="4"/>
      <c r="F695" s="4"/>
    </row>
    <row r="696" ht="15.75" customHeight="1">
      <c r="A696" s="4"/>
      <c r="B696" s="4"/>
      <c r="C696" s="4"/>
      <c r="D696" s="4"/>
      <c r="E696" s="4"/>
      <c r="F696" s="4"/>
    </row>
    <row r="697" ht="15.75" customHeight="1">
      <c r="A697" s="4"/>
      <c r="B697" s="4"/>
      <c r="C697" s="4"/>
      <c r="D697" s="4"/>
      <c r="E697" s="4"/>
      <c r="F697" s="4"/>
    </row>
    <row r="698" ht="15.75" customHeight="1">
      <c r="A698" s="4"/>
      <c r="B698" s="4"/>
      <c r="C698" s="4"/>
      <c r="D698" s="4"/>
      <c r="E698" s="4"/>
      <c r="F698" s="4"/>
    </row>
    <row r="699" ht="15.75" customHeight="1">
      <c r="A699" s="4"/>
      <c r="B699" s="4"/>
      <c r="C699" s="4"/>
      <c r="D699" s="4"/>
      <c r="E699" s="4"/>
      <c r="F699" s="4"/>
    </row>
    <row r="700" ht="15.75" customHeight="1">
      <c r="A700" s="4"/>
      <c r="B700" s="4"/>
      <c r="C700" s="4"/>
      <c r="D700" s="4"/>
      <c r="E700" s="4"/>
      <c r="F700" s="4"/>
    </row>
    <row r="701" ht="15.75" customHeight="1">
      <c r="A701" s="4"/>
      <c r="B701" s="4"/>
      <c r="C701" s="4"/>
      <c r="D701" s="4"/>
      <c r="E701" s="4"/>
      <c r="F701" s="4"/>
    </row>
    <row r="702" ht="15.75" customHeight="1">
      <c r="A702" s="4"/>
      <c r="B702" s="4"/>
      <c r="C702" s="4"/>
      <c r="D702" s="4"/>
      <c r="E702" s="4"/>
      <c r="F702" s="4"/>
    </row>
    <row r="703" ht="15.75" customHeight="1">
      <c r="A703" s="4"/>
      <c r="B703" s="4"/>
      <c r="C703" s="4"/>
      <c r="D703" s="4"/>
      <c r="E703" s="4"/>
      <c r="F703" s="4"/>
    </row>
    <row r="704" ht="15.75" customHeight="1">
      <c r="A704" s="4"/>
      <c r="B704" s="4"/>
      <c r="C704" s="4"/>
      <c r="D704" s="4"/>
      <c r="E704" s="4"/>
      <c r="F704" s="4"/>
    </row>
    <row r="705" ht="15.75" customHeight="1">
      <c r="A705" s="4"/>
      <c r="B705" s="4"/>
      <c r="C705" s="4"/>
      <c r="D705" s="4"/>
      <c r="E705" s="4"/>
      <c r="F705" s="4"/>
    </row>
    <row r="706" ht="15.75" customHeight="1">
      <c r="A706" s="4"/>
      <c r="B706" s="4"/>
      <c r="C706" s="4"/>
      <c r="D706" s="4"/>
      <c r="E706" s="4"/>
      <c r="F706" s="4"/>
    </row>
    <row r="707" ht="15.75" customHeight="1">
      <c r="A707" s="4"/>
      <c r="B707" s="4"/>
      <c r="C707" s="4"/>
      <c r="D707" s="4"/>
      <c r="E707" s="4"/>
      <c r="F707" s="4"/>
    </row>
    <row r="708" ht="15.75" customHeight="1">
      <c r="A708" s="4"/>
      <c r="B708" s="4"/>
      <c r="C708" s="4"/>
      <c r="D708" s="4"/>
      <c r="E708" s="4"/>
      <c r="F708" s="4"/>
    </row>
    <row r="709" ht="15.75" customHeight="1">
      <c r="A709" s="4"/>
      <c r="B709" s="4"/>
      <c r="C709" s="4"/>
      <c r="D709" s="4"/>
      <c r="E709" s="4"/>
      <c r="F709" s="4"/>
    </row>
    <row r="710" ht="15.75" customHeight="1">
      <c r="A710" s="4"/>
      <c r="B710" s="4"/>
      <c r="C710" s="4"/>
      <c r="D710" s="4"/>
      <c r="E710" s="4"/>
      <c r="F710" s="4"/>
    </row>
    <row r="711" ht="15.75" customHeight="1">
      <c r="A711" s="4"/>
      <c r="B711" s="4"/>
      <c r="C711" s="4"/>
      <c r="D711" s="4"/>
      <c r="E711" s="4"/>
      <c r="F711" s="4"/>
    </row>
    <row r="712" ht="15.75" customHeight="1">
      <c r="A712" s="4"/>
      <c r="B712" s="4"/>
      <c r="C712" s="4"/>
      <c r="D712" s="4"/>
      <c r="E712" s="4"/>
      <c r="F712" s="4"/>
    </row>
    <row r="713" ht="15.75" customHeight="1">
      <c r="A713" s="4"/>
      <c r="B713" s="4"/>
      <c r="C713" s="4"/>
      <c r="D713" s="4"/>
      <c r="E713" s="4"/>
      <c r="F713" s="4"/>
    </row>
    <row r="714" ht="15.75" customHeight="1">
      <c r="A714" s="4"/>
      <c r="B714" s="4"/>
      <c r="C714" s="4"/>
      <c r="D714" s="4"/>
      <c r="E714" s="4"/>
      <c r="F714" s="4"/>
    </row>
    <row r="715" ht="15.75" customHeight="1">
      <c r="A715" s="4"/>
      <c r="B715" s="4"/>
      <c r="C715" s="4"/>
      <c r="D715" s="4"/>
      <c r="E715" s="4"/>
      <c r="F715" s="4"/>
    </row>
    <row r="716" ht="15.75" customHeight="1">
      <c r="A716" s="4"/>
      <c r="B716" s="4"/>
      <c r="C716" s="4"/>
      <c r="D716" s="4"/>
      <c r="E716" s="4"/>
      <c r="F716" s="4"/>
    </row>
    <row r="717" ht="15.75" customHeight="1">
      <c r="A717" s="4"/>
      <c r="B717" s="4"/>
      <c r="C717" s="4"/>
      <c r="D717" s="4"/>
      <c r="E717" s="4"/>
      <c r="F717" s="4"/>
    </row>
    <row r="718" ht="15.75" customHeight="1">
      <c r="A718" s="4"/>
      <c r="B718" s="4"/>
      <c r="C718" s="4"/>
      <c r="D718" s="4"/>
      <c r="E718" s="4"/>
      <c r="F718" s="4"/>
    </row>
    <row r="719" ht="15.75" customHeight="1">
      <c r="A719" s="4"/>
      <c r="B719" s="4"/>
      <c r="C719" s="4"/>
      <c r="D719" s="4"/>
      <c r="E719" s="4"/>
      <c r="F719" s="4"/>
    </row>
    <row r="720" ht="15.75" customHeight="1">
      <c r="A720" s="4"/>
      <c r="B720" s="4"/>
      <c r="C720" s="4"/>
      <c r="D720" s="4"/>
      <c r="E720" s="4"/>
      <c r="F720" s="4"/>
    </row>
    <row r="721" ht="15.75" customHeight="1">
      <c r="A721" s="4"/>
      <c r="B721" s="4"/>
      <c r="C721" s="4"/>
      <c r="D721" s="4"/>
      <c r="E721" s="4"/>
      <c r="F721" s="4"/>
    </row>
    <row r="722" ht="15.75" customHeight="1">
      <c r="A722" s="4"/>
      <c r="B722" s="4"/>
      <c r="C722" s="4"/>
      <c r="D722" s="4"/>
      <c r="E722" s="4"/>
      <c r="F722" s="4"/>
    </row>
    <row r="723" ht="15.75" customHeight="1">
      <c r="A723" s="4"/>
      <c r="B723" s="4"/>
      <c r="C723" s="4"/>
      <c r="D723" s="4"/>
      <c r="E723" s="4"/>
      <c r="F723" s="4"/>
    </row>
    <row r="724" ht="15.75" customHeight="1">
      <c r="A724" s="4"/>
      <c r="B724" s="4"/>
      <c r="C724" s="4"/>
      <c r="D724" s="4"/>
      <c r="E724" s="4"/>
      <c r="F724" s="4"/>
    </row>
    <row r="725" ht="15.75" customHeight="1">
      <c r="A725" s="4"/>
      <c r="B725" s="4"/>
      <c r="C725" s="4"/>
      <c r="D725" s="4"/>
      <c r="E725" s="4"/>
      <c r="F725" s="4"/>
    </row>
    <row r="726" ht="15.75" customHeight="1">
      <c r="A726" s="4"/>
      <c r="B726" s="4"/>
      <c r="C726" s="4"/>
      <c r="D726" s="4"/>
      <c r="E726" s="4"/>
      <c r="F726" s="4"/>
    </row>
    <row r="727" ht="15.75" customHeight="1">
      <c r="A727" s="4"/>
      <c r="B727" s="4"/>
      <c r="C727" s="4"/>
      <c r="D727" s="4"/>
      <c r="E727" s="4"/>
      <c r="F727" s="4"/>
    </row>
    <row r="728" ht="15.75" customHeight="1">
      <c r="A728" s="4"/>
      <c r="B728" s="4"/>
      <c r="C728" s="4"/>
      <c r="D728" s="4"/>
      <c r="E728" s="4"/>
      <c r="F728" s="4"/>
    </row>
    <row r="729" ht="15.75" customHeight="1">
      <c r="A729" s="4"/>
      <c r="B729" s="4"/>
      <c r="C729" s="4"/>
      <c r="D729" s="4"/>
      <c r="E729" s="4"/>
      <c r="F729" s="4"/>
    </row>
    <row r="730" ht="15.75" customHeight="1">
      <c r="A730" s="4"/>
      <c r="B730" s="4"/>
      <c r="C730" s="4"/>
      <c r="D730" s="4"/>
      <c r="E730" s="4"/>
      <c r="F730" s="4"/>
    </row>
    <row r="731" ht="15.75" customHeight="1">
      <c r="A731" s="4"/>
      <c r="B731" s="4"/>
      <c r="C731" s="4"/>
      <c r="D731" s="4"/>
      <c r="E731" s="4"/>
      <c r="F731" s="4"/>
    </row>
    <row r="732" ht="15.75" customHeight="1">
      <c r="A732" s="4"/>
      <c r="B732" s="4"/>
      <c r="C732" s="4"/>
      <c r="D732" s="4"/>
      <c r="E732" s="4"/>
      <c r="F732" s="4"/>
    </row>
    <row r="733" ht="15.75" customHeight="1">
      <c r="A733" s="4"/>
      <c r="B733" s="4"/>
      <c r="C733" s="4"/>
      <c r="D733" s="4"/>
      <c r="E733" s="4"/>
      <c r="F733" s="4"/>
    </row>
    <row r="734" ht="15.75" customHeight="1">
      <c r="A734" s="4"/>
      <c r="B734" s="4"/>
      <c r="C734" s="4"/>
      <c r="D734" s="4"/>
      <c r="E734" s="4"/>
      <c r="F734" s="4"/>
    </row>
    <row r="735" ht="15.75" customHeight="1">
      <c r="A735" s="4"/>
      <c r="B735" s="4"/>
      <c r="C735" s="4"/>
      <c r="D735" s="4"/>
      <c r="E735" s="4"/>
      <c r="F735" s="4"/>
    </row>
    <row r="736" ht="15.75" customHeight="1">
      <c r="A736" s="4"/>
      <c r="B736" s="4"/>
      <c r="C736" s="4"/>
      <c r="D736" s="4"/>
      <c r="E736" s="4"/>
      <c r="F736" s="4"/>
    </row>
    <row r="737" ht="15.75" customHeight="1">
      <c r="A737" s="4"/>
      <c r="B737" s="4"/>
      <c r="C737" s="4"/>
      <c r="D737" s="4"/>
      <c r="E737" s="4"/>
      <c r="F737" s="4"/>
    </row>
    <row r="738" ht="15.75" customHeight="1">
      <c r="A738" s="4"/>
      <c r="B738" s="4"/>
      <c r="C738" s="4"/>
      <c r="D738" s="4"/>
      <c r="E738" s="4"/>
      <c r="F738" s="4"/>
    </row>
    <row r="739" ht="15.75" customHeight="1">
      <c r="A739" s="4"/>
      <c r="B739" s="4"/>
      <c r="C739" s="4"/>
      <c r="D739" s="4"/>
      <c r="E739" s="4"/>
      <c r="F739" s="4"/>
    </row>
    <row r="740" ht="15.75" customHeight="1">
      <c r="A740" s="4"/>
      <c r="B740" s="4"/>
      <c r="C740" s="4"/>
      <c r="D740" s="4"/>
      <c r="E740" s="4"/>
      <c r="F740" s="4"/>
    </row>
    <row r="741" ht="15.75" customHeight="1">
      <c r="A741" s="4"/>
      <c r="B741" s="4"/>
      <c r="C741" s="4"/>
      <c r="D741" s="4"/>
      <c r="E741" s="4"/>
      <c r="F741" s="4"/>
    </row>
    <row r="742" ht="15.75" customHeight="1">
      <c r="A742" s="4"/>
      <c r="B742" s="4"/>
      <c r="C742" s="4"/>
      <c r="D742" s="4"/>
      <c r="E742" s="4"/>
      <c r="F742" s="4"/>
    </row>
    <row r="743" ht="15.75" customHeight="1">
      <c r="A743" s="4"/>
      <c r="B743" s="4"/>
      <c r="C743" s="4"/>
      <c r="D743" s="4"/>
      <c r="E743" s="4"/>
      <c r="F743" s="4"/>
    </row>
    <row r="744" ht="15.75" customHeight="1">
      <c r="A744" s="4"/>
      <c r="B744" s="4"/>
      <c r="C744" s="4"/>
      <c r="D744" s="4"/>
      <c r="E744" s="4"/>
      <c r="F744" s="4"/>
    </row>
    <row r="745" ht="15.75" customHeight="1">
      <c r="A745" s="4"/>
      <c r="B745" s="4"/>
      <c r="C745" s="4"/>
      <c r="D745" s="4"/>
      <c r="E745" s="4"/>
      <c r="F745" s="4"/>
    </row>
    <row r="746" ht="15.75" customHeight="1">
      <c r="A746" s="4"/>
      <c r="B746" s="4"/>
      <c r="C746" s="4"/>
      <c r="D746" s="4"/>
      <c r="E746" s="4"/>
      <c r="F746" s="4"/>
    </row>
    <row r="747" ht="15.75" customHeight="1">
      <c r="A747" s="4"/>
      <c r="B747" s="4"/>
      <c r="C747" s="4"/>
      <c r="D747" s="4"/>
      <c r="E747" s="4"/>
      <c r="F747" s="4"/>
    </row>
    <row r="748" ht="15.75" customHeight="1">
      <c r="A748" s="4"/>
      <c r="B748" s="4"/>
      <c r="C748" s="4"/>
      <c r="D748" s="4"/>
      <c r="E748" s="4"/>
      <c r="F748" s="4"/>
    </row>
    <row r="749" ht="15.75" customHeight="1">
      <c r="A749" s="4"/>
      <c r="B749" s="4"/>
      <c r="C749" s="4"/>
      <c r="D749" s="4"/>
      <c r="E749" s="4"/>
      <c r="F749" s="4"/>
    </row>
    <row r="750" ht="15.75" customHeight="1">
      <c r="A750" s="4"/>
      <c r="B750" s="4"/>
      <c r="C750" s="4"/>
      <c r="D750" s="4"/>
      <c r="E750" s="4"/>
      <c r="F750" s="4"/>
    </row>
    <row r="751" ht="15.75" customHeight="1">
      <c r="A751" s="4"/>
      <c r="B751" s="4"/>
      <c r="C751" s="4"/>
      <c r="D751" s="4"/>
      <c r="E751" s="4"/>
      <c r="F751" s="4"/>
    </row>
    <row r="752" ht="15.75" customHeight="1">
      <c r="A752" s="4"/>
      <c r="B752" s="4"/>
      <c r="C752" s="4"/>
      <c r="D752" s="4"/>
      <c r="E752" s="4"/>
      <c r="F752" s="4"/>
    </row>
    <row r="753" ht="15.75" customHeight="1">
      <c r="A753" s="4"/>
      <c r="B753" s="4"/>
      <c r="C753" s="4"/>
      <c r="D753" s="4"/>
      <c r="E753" s="4"/>
      <c r="F753" s="4"/>
    </row>
    <row r="754" ht="15.75" customHeight="1">
      <c r="A754" s="4"/>
      <c r="B754" s="4"/>
      <c r="C754" s="4"/>
      <c r="D754" s="4"/>
      <c r="E754" s="4"/>
      <c r="F754" s="4"/>
    </row>
    <row r="755" ht="15.75" customHeight="1">
      <c r="A755" s="4"/>
      <c r="B755" s="4"/>
      <c r="C755" s="4"/>
      <c r="D755" s="4"/>
      <c r="E755" s="4"/>
      <c r="F755" s="4"/>
    </row>
    <row r="756" ht="15.75" customHeight="1">
      <c r="A756" s="4"/>
      <c r="B756" s="4"/>
      <c r="C756" s="4"/>
      <c r="D756" s="4"/>
      <c r="E756" s="4"/>
      <c r="F756" s="4"/>
    </row>
    <row r="757" ht="15.75" customHeight="1">
      <c r="A757" s="4"/>
      <c r="B757" s="4"/>
      <c r="C757" s="4"/>
      <c r="D757" s="4"/>
      <c r="E757" s="4"/>
      <c r="F757" s="4"/>
    </row>
    <row r="758" ht="15.75" customHeight="1">
      <c r="A758" s="4"/>
      <c r="B758" s="4"/>
      <c r="C758" s="4"/>
      <c r="D758" s="4"/>
      <c r="E758" s="4"/>
      <c r="F758" s="4"/>
    </row>
    <row r="759" ht="15.75" customHeight="1">
      <c r="A759" s="4"/>
      <c r="B759" s="4"/>
      <c r="C759" s="4"/>
      <c r="D759" s="4"/>
      <c r="E759" s="4"/>
      <c r="F759" s="4"/>
    </row>
    <row r="760" ht="15.75" customHeight="1">
      <c r="A760" s="4"/>
      <c r="B760" s="4"/>
      <c r="C760" s="4"/>
      <c r="D760" s="4"/>
      <c r="E760" s="4"/>
      <c r="F760" s="4"/>
    </row>
    <row r="761" ht="15.75" customHeight="1">
      <c r="A761" s="4"/>
      <c r="B761" s="4"/>
      <c r="C761" s="4"/>
      <c r="D761" s="4"/>
      <c r="E761" s="4"/>
      <c r="F761" s="4"/>
    </row>
    <row r="762" ht="15.75" customHeight="1">
      <c r="A762" s="4"/>
      <c r="B762" s="4"/>
      <c r="C762" s="4"/>
      <c r="D762" s="4"/>
      <c r="E762" s="4"/>
      <c r="F762" s="4"/>
    </row>
    <row r="763" ht="15.75" customHeight="1">
      <c r="A763" s="4"/>
      <c r="B763" s="4"/>
      <c r="C763" s="4"/>
      <c r="D763" s="4"/>
      <c r="E763" s="4"/>
      <c r="F763" s="4"/>
    </row>
    <row r="764" ht="15.75" customHeight="1">
      <c r="A764" s="4"/>
      <c r="B764" s="4"/>
      <c r="C764" s="4"/>
      <c r="D764" s="4"/>
      <c r="E764" s="4"/>
      <c r="F764" s="4"/>
    </row>
    <row r="765" ht="15.75" customHeight="1">
      <c r="A765" s="4"/>
      <c r="B765" s="4"/>
      <c r="C765" s="4"/>
      <c r="D765" s="4"/>
      <c r="E765" s="4"/>
      <c r="F765" s="4"/>
    </row>
    <row r="766" ht="15.75" customHeight="1">
      <c r="A766" s="4"/>
      <c r="B766" s="4"/>
      <c r="C766" s="4"/>
      <c r="D766" s="4"/>
      <c r="E766" s="4"/>
      <c r="F766" s="4"/>
    </row>
    <row r="767" ht="15.75" customHeight="1">
      <c r="A767" s="4"/>
      <c r="B767" s="4"/>
      <c r="C767" s="4"/>
      <c r="D767" s="4"/>
      <c r="E767" s="4"/>
      <c r="F767" s="4"/>
    </row>
    <row r="768" ht="15.75" customHeight="1">
      <c r="A768" s="4"/>
      <c r="B768" s="4"/>
      <c r="C768" s="4"/>
      <c r="D768" s="4"/>
      <c r="E768" s="4"/>
      <c r="F768" s="4"/>
    </row>
    <row r="769" ht="15.75" customHeight="1">
      <c r="A769" s="4"/>
      <c r="B769" s="4"/>
      <c r="C769" s="4"/>
      <c r="D769" s="4"/>
      <c r="E769" s="4"/>
      <c r="F769" s="4"/>
    </row>
    <row r="770" ht="15.75" customHeight="1">
      <c r="A770" s="4"/>
      <c r="B770" s="4"/>
      <c r="C770" s="4"/>
      <c r="D770" s="4"/>
      <c r="E770" s="4"/>
      <c r="F770" s="4"/>
    </row>
    <row r="771" ht="15.75" customHeight="1">
      <c r="A771" s="4"/>
      <c r="B771" s="4"/>
      <c r="C771" s="4"/>
      <c r="D771" s="4"/>
      <c r="E771" s="4"/>
      <c r="F771" s="4"/>
    </row>
    <row r="772" ht="15.75" customHeight="1">
      <c r="A772" s="4"/>
      <c r="B772" s="4"/>
      <c r="C772" s="4"/>
      <c r="D772" s="4"/>
      <c r="E772" s="4"/>
      <c r="F772" s="4"/>
    </row>
    <row r="773" ht="15.75" customHeight="1">
      <c r="A773" s="4"/>
      <c r="B773" s="4"/>
      <c r="C773" s="4"/>
      <c r="D773" s="4"/>
      <c r="E773" s="4"/>
      <c r="F773" s="4"/>
    </row>
    <row r="774" ht="15.75" customHeight="1">
      <c r="A774" s="4"/>
      <c r="B774" s="4"/>
      <c r="C774" s="4"/>
      <c r="D774" s="4"/>
      <c r="E774" s="4"/>
      <c r="F774" s="4"/>
    </row>
    <row r="775" ht="15.75" customHeight="1">
      <c r="A775" s="4"/>
      <c r="B775" s="4"/>
      <c r="C775" s="4"/>
      <c r="D775" s="4"/>
      <c r="E775" s="4"/>
      <c r="F775" s="4"/>
    </row>
    <row r="776" ht="15.75" customHeight="1">
      <c r="A776" s="4"/>
      <c r="B776" s="4"/>
      <c r="C776" s="4"/>
      <c r="D776" s="4"/>
      <c r="E776" s="4"/>
      <c r="F776" s="4"/>
    </row>
    <row r="777" ht="15.75" customHeight="1">
      <c r="A777" s="4"/>
      <c r="B777" s="4"/>
      <c r="C777" s="4"/>
      <c r="D777" s="4"/>
      <c r="E777" s="4"/>
      <c r="F777" s="4"/>
    </row>
    <row r="778" ht="15.75" customHeight="1">
      <c r="A778" s="4"/>
      <c r="B778" s="4"/>
      <c r="C778" s="4"/>
      <c r="D778" s="4"/>
      <c r="E778" s="4"/>
      <c r="F778" s="4"/>
    </row>
    <row r="779" ht="15.75" customHeight="1">
      <c r="A779" s="4"/>
      <c r="B779" s="4"/>
      <c r="C779" s="4"/>
      <c r="D779" s="4"/>
      <c r="E779" s="4"/>
      <c r="F779" s="4"/>
    </row>
    <row r="780" ht="15.75" customHeight="1">
      <c r="A780" s="4"/>
      <c r="B780" s="4"/>
      <c r="C780" s="4"/>
      <c r="D780" s="4"/>
      <c r="E780" s="4"/>
      <c r="F780" s="4"/>
    </row>
    <row r="781" ht="15.75" customHeight="1">
      <c r="A781" s="4"/>
      <c r="B781" s="4"/>
      <c r="C781" s="4"/>
      <c r="D781" s="4"/>
      <c r="E781" s="4"/>
      <c r="F781" s="4"/>
    </row>
    <row r="782" ht="15.75" customHeight="1">
      <c r="A782" s="4"/>
      <c r="B782" s="4"/>
      <c r="C782" s="4"/>
      <c r="D782" s="4"/>
      <c r="E782" s="4"/>
      <c r="F782" s="4"/>
    </row>
    <row r="783" ht="15.75" customHeight="1">
      <c r="A783" s="4"/>
      <c r="B783" s="4"/>
      <c r="C783" s="4"/>
      <c r="D783" s="4"/>
      <c r="E783" s="4"/>
      <c r="F783" s="4"/>
    </row>
    <row r="784" ht="15.75" customHeight="1">
      <c r="A784" s="4"/>
      <c r="B784" s="4"/>
      <c r="C784" s="4"/>
      <c r="D784" s="4"/>
      <c r="E784" s="4"/>
      <c r="F784" s="4"/>
    </row>
    <row r="785" ht="15.75" customHeight="1">
      <c r="A785" s="4"/>
      <c r="B785" s="4"/>
      <c r="C785" s="4"/>
      <c r="D785" s="4"/>
      <c r="E785" s="4"/>
      <c r="F785" s="4"/>
    </row>
    <row r="786" ht="15.75" customHeight="1">
      <c r="A786" s="4"/>
      <c r="B786" s="4"/>
      <c r="C786" s="4"/>
      <c r="D786" s="4"/>
      <c r="E786" s="4"/>
      <c r="F786" s="4"/>
    </row>
    <row r="787" ht="15.75" customHeight="1">
      <c r="A787" s="4"/>
      <c r="B787" s="4"/>
      <c r="C787" s="4"/>
      <c r="D787" s="4"/>
      <c r="E787" s="4"/>
      <c r="F787" s="4"/>
    </row>
    <row r="788" ht="15.75" customHeight="1">
      <c r="A788" s="4"/>
      <c r="B788" s="4"/>
      <c r="C788" s="4"/>
      <c r="D788" s="4"/>
      <c r="E788" s="4"/>
      <c r="F788" s="4"/>
    </row>
    <row r="789" ht="15.75" customHeight="1">
      <c r="A789" s="4"/>
      <c r="B789" s="4"/>
      <c r="C789" s="4"/>
      <c r="D789" s="4"/>
      <c r="E789" s="4"/>
      <c r="F789" s="4"/>
    </row>
    <row r="790" ht="15.75" customHeight="1">
      <c r="A790" s="4"/>
      <c r="B790" s="4"/>
      <c r="C790" s="4"/>
      <c r="D790" s="4"/>
      <c r="E790" s="4"/>
      <c r="F790" s="4"/>
    </row>
    <row r="791" ht="15.75" customHeight="1">
      <c r="A791" s="4"/>
      <c r="B791" s="4"/>
      <c r="C791" s="4"/>
      <c r="D791" s="4"/>
      <c r="E791" s="4"/>
      <c r="F791" s="4"/>
    </row>
    <row r="792" ht="15.75" customHeight="1">
      <c r="A792" s="4"/>
      <c r="B792" s="4"/>
      <c r="C792" s="4"/>
      <c r="D792" s="4"/>
      <c r="E792" s="4"/>
      <c r="F792" s="4"/>
    </row>
    <row r="793" ht="15.75" customHeight="1">
      <c r="A793" s="4"/>
      <c r="B793" s="4"/>
      <c r="C793" s="4"/>
      <c r="D793" s="4"/>
      <c r="E793" s="4"/>
      <c r="F793" s="4"/>
    </row>
    <row r="794" ht="15.75" customHeight="1">
      <c r="A794" s="4"/>
      <c r="B794" s="4"/>
      <c r="C794" s="4"/>
      <c r="D794" s="4"/>
      <c r="E794" s="4"/>
      <c r="F794" s="4"/>
    </row>
    <row r="795" ht="15.75" customHeight="1">
      <c r="A795" s="4"/>
      <c r="B795" s="4"/>
      <c r="C795" s="4"/>
      <c r="D795" s="4"/>
      <c r="E795" s="4"/>
      <c r="F795" s="4"/>
    </row>
    <row r="796" ht="15.75" customHeight="1">
      <c r="A796" s="4"/>
      <c r="B796" s="4"/>
      <c r="C796" s="4"/>
      <c r="D796" s="4"/>
      <c r="E796" s="4"/>
      <c r="F796" s="4"/>
    </row>
    <row r="797" ht="15.75" customHeight="1">
      <c r="A797" s="4"/>
      <c r="B797" s="4"/>
      <c r="C797" s="4"/>
      <c r="D797" s="4"/>
      <c r="E797" s="4"/>
      <c r="F797" s="4"/>
    </row>
    <row r="798" ht="15.75" customHeight="1">
      <c r="A798" s="4"/>
      <c r="B798" s="4"/>
      <c r="C798" s="4"/>
      <c r="D798" s="4"/>
      <c r="E798" s="4"/>
      <c r="F798" s="4"/>
    </row>
    <row r="799" ht="15.75" customHeight="1">
      <c r="A799" s="4"/>
      <c r="B799" s="4"/>
      <c r="C799" s="4"/>
      <c r="D799" s="4"/>
      <c r="E799" s="4"/>
      <c r="F799" s="4"/>
    </row>
    <row r="800" ht="15.75" customHeight="1">
      <c r="A800" s="4"/>
      <c r="B800" s="4"/>
      <c r="C800" s="4"/>
      <c r="D800" s="4"/>
      <c r="E800" s="4"/>
      <c r="F800" s="4"/>
    </row>
    <row r="801" ht="15.75" customHeight="1">
      <c r="A801" s="4"/>
      <c r="B801" s="4"/>
      <c r="C801" s="4"/>
      <c r="D801" s="4"/>
      <c r="E801" s="4"/>
      <c r="F801" s="4"/>
    </row>
    <row r="802" ht="15.75" customHeight="1">
      <c r="A802" s="4"/>
      <c r="B802" s="4"/>
      <c r="C802" s="4"/>
      <c r="D802" s="4"/>
      <c r="E802" s="4"/>
      <c r="F802" s="4"/>
    </row>
    <row r="803" ht="15.75" customHeight="1">
      <c r="A803" s="4"/>
      <c r="B803" s="4"/>
      <c r="C803" s="4"/>
      <c r="D803" s="4"/>
      <c r="E803" s="4"/>
      <c r="F803" s="4"/>
    </row>
    <row r="804" ht="15.75" customHeight="1">
      <c r="A804" s="4"/>
      <c r="B804" s="4"/>
      <c r="C804" s="4"/>
      <c r="D804" s="4"/>
      <c r="E804" s="4"/>
      <c r="F804" s="4"/>
    </row>
    <row r="805" ht="15.75" customHeight="1">
      <c r="A805" s="4"/>
      <c r="B805" s="4"/>
      <c r="C805" s="4"/>
      <c r="D805" s="4"/>
      <c r="E805" s="4"/>
      <c r="F805" s="4"/>
    </row>
    <row r="806" ht="15.75" customHeight="1">
      <c r="A806" s="4"/>
      <c r="B806" s="4"/>
      <c r="C806" s="4"/>
      <c r="D806" s="4"/>
      <c r="E806" s="4"/>
      <c r="F806" s="4"/>
    </row>
    <row r="807" ht="15.75" customHeight="1">
      <c r="A807" s="4"/>
      <c r="B807" s="4"/>
      <c r="C807" s="4"/>
      <c r="D807" s="4"/>
      <c r="E807" s="4"/>
      <c r="F807" s="4"/>
    </row>
    <row r="808" ht="15.75" customHeight="1">
      <c r="A808" s="4"/>
      <c r="B808" s="4"/>
      <c r="C808" s="4"/>
      <c r="D808" s="4"/>
      <c r="E808" s="4"/>
      <c r="F808" s="4"/>
    </row>
    <row r="809" ht="15.75" customHeight="1">
      <c r="A809" s="4"/>
      <c r="B809" s="4"/>
      <c r="C809" s="4"/>
      <c r="D809" s="4"/>
      <c r="E809" s="4"/>
      <c r="F809" s="4"/>
    </row>
    <row r="810" ht="15.75" customHeight="1">
      <c r="A810" s="4"/>
      <c r="B810" s="4"/>
      <c r="C810" s="4"/>
      <c r="D810" s="4"/>
      <c r="E810" s="4"/>
      <c r="F810" s="4"/>
    </row>
    <row r="811" ht="15.75" customHeight="1">
      <c r="A811" s="4"/>
      <c r="B811" s="4"/>
      <c r="C811" s="4"/>
      <c r="D811" s="4"/>
      <c r="E811" s="4"/>
      <c r="F811" s="4"/>
    </row>
    <row r="812" ht="15.75" customHeight="1">
      <c r="A812" s="4"/>
      <c r="B812" s="4"/>
      <c r="C812" s="4"/>
      <c r="D812" s="4"/>
      <c r="E812" s="4"/>
      <c r="F812" s="4"/>
    </row>
    <row r="813" ht="15.75" customHeight="1">
      <c r="A813" s="4"/>
      <c r="B813" s="4"/>
      <c r="C813" s="4"/>
      <c r="D813" s="4"/>
      <c r="E813" s="4"/>
      <c r="F813" s="4"/>
    </row>
    <row r="814" ht="15.75" customHeight="1">
      <c r="A814" s="4"/>
      <c r="B814" s="4"/>
      <c r="C814" s="4"/>
      <c r="D814" s="4"/>
      <c r="E814" s="4"/>
      <c r="F814" s="4"/>
    </row>
    <row r="815" ht="15.75" customHeight="1">
      <c r="A815" s="4"/>
      <c r="B815" s="4"/>
      <c r="C815" s="4"/>
      <c r="D815" s="4"/>
      <c r="E815" s="4"/>
      <c r="F815" s="4"/>
    </row>
    <row r="816" ht="15.75" customHeight="1">
      <c r="A816" s="4"/>
      <c r="B816" s="4"/>
      <c r="C816" s="4"/>
      <c r="D816" s="4"/>
      <c r="E816" s="4"/>
      <c r="F816" s="4"/>
    </row>
    <row r="817" ht="15.75" customHeight="1">
      <c r="A817" s="4"/>
      <c r="B817" s="4"/>
      <c r="C817" s="4"/>
      <c r="D817" s="4"/>
      <c r="E817" s="4"/>
      <c r="F817" s="4"/>
    </row>
    <row r="818" ht="15.75" customHeight="1">
      <c r="A818" s="4"/>
      <c r="B818" s="4"/>
      <c r="C818" s="4"/>
      <c r="D818" s="4"/>
      <c r="E818" s="4"/>
      <c r="F818" s="4"/>
    </row>
    <row r="819" ht="15.75" customHeight="1">
      <c r="A819" s="4"/>
      <c r="B819" s="4"/>
      <c r="C819" s="4"/>
      <c r="D819" s="4"/>
      <c r="E819" s="4"/>
      <c r="F819" s="4"/>
    </row>
    <row r="820" ht="15.75" customHeight="1">
      <c r="A820" s="4"/>
      <c r="B820" s="4"/>
      <c r="C820" s="4"/>
      <c r="D820" s="4"/>
      <c r="E820" s="4"/>
      <c r="F820" s="4"/>
    </row>
    <row r="821" ht="15.75" customHeight="1">
      <c r="A821" s="4"/>
      <c r="B821" s="4"/>
      <c r="C821" s="4"/>
      <c r="D821" s="4"/>
      <c r="E821" s="4"/>
      <c r="F821" s="4"/>
    </row>
    <row r="822" ht="15.75" customHeight="1">
      <c r="A822" s="4"/>
      <c r="B822" s="4"/>
      <c r="C822" s="4"/>
      <c r="D822" s="4"/>
      <c r="E822" s="4"/>
      <c r="F822" s="4"/>
    </row>
    <row r="823" ht="15.75" customHeight="1">
      <c r="A823" s="4"/>
      <c r="B823" s="4"/>
      <c r="C823" s="4"/>
      <c r="D823" s="4"/>
      <c r="E823" s="4"/>
      <c r="F823" s="4"/>
    </row>
    <row r="824" ht="15.75" customHeight="1">
      <c r="A824" s="4"/>
      <c r="B824" s="4"/>
      <c r="C824" s="4"/>
      <c r="D824" s="4"/>
      <c r="E824" s="4"/>
      <c r="F824" s="4"/>
    </row>
    <row r="825" ht="15.75" customHeight="1">
      <c r="A825" s="4"/>
      <c r="B825" s="4"/>
      <c r="C825" s="4"/>
      <c r="D825" s="4"/>
      <c r="E825" s="4"/>
      <c r="F825" s="4"/>
    </row>
    <row r="826" ht="15.75" customHeight="1">
      <c r="A826" s="4"/>
      <c r="B826" s="4"/>
      <c r="C826" s="4"/>
      <c r="D826" s="4"/>
      <c r="E826" s="4"/>
      <c r="F826" s="4"/>
    </row>
    <row r="827" ht="15.75" customHeight="1">
      <c r="A827" s="4"/>
      <c r="B827" s="4"/>
      <c r="C827" s="4"/>
      <c r="D827" s="4"/>
      <c r="E827" s="4"/>
      <c r="F827" s="4"/>
    </row>
    <row r="828" ht="15.75" customHeight="1">
      <c r="A828" s="4"/>
      <c r="B828" s="4"/>
      <c r="C828" s="4"/>
      <c r="D828" s="4"/>
      <c r="E828" s="4"/>
      <c r="F828" s="4"/>
    </row>
    <row r="829" ht="15.75" customHeight="1">
      <c r="A829" s="4"/>
      <c r="B829" s="4"/>
      <c r="C829" s="4"/>
      <c r="D829" s="4"/>
      <c r="E829" s="4"/>
      <c r="F829" s="4"/>
    </row>
    <row r="830" ht="15.75" customHeight="1">
      <c r="A830" s="4"/>
      <c r="B830" s="4"/>
      <c r="C830" s="4"/>
      <c r="D830" s="4"/>
      <c r="E830" s="4"/>
      <c r="F830" s="4"/>
    </row>
    <row r="831" ht="15.75" customHeight="1">
      <c r="A831" s="4"/>
      <c r="B831" s="4"/>
      <c r="C831" s="4"/>
      <c r="D831" s="4"/>
      <c r="E831" s="4"/>
      <c r="F831" s="4"/>
    </row>
    <row r="832" ht="15.75" customHeight="1">
      <c r="A832" s="4"/>
      <c r="B832" s="4"/>
      <c r="C832" s="4"/>
      <c r="D832" s="4"/>
      <c r="E832" s="4"/>
      <c r="F832" s="4"/>
    </row>
    <row r="833" ht="15.75" customHeight="1">
      <c r="A833" s="4"/>
      <c r="B833" s="4"/>
      <c r="C833" s="4"/>
      <c r="D833" s="4"/>
      <c r="E833" s="4"/>
      <c r="F833" s="4"/>
    </row>
    <row r="834" ht="15.75" customHeight="1">
      <c r="A834" s="4"/>
      <c r="B834" s="4"/>
      <c r="C834" s="4"/>
      <c r="D834" s="4"/>
      <c r="E834" s="4"/>
      <c r="F834" s="4"/>
    </row>
    <row r="835" ht="15.75" customHeight="1">
      <c r="A835" s="4"/>
      <c r="B835" s="4"/>
      <c r="C835" s="4"/>
      <c r="D835" s="4"/>
      <c r="E835" s="4"/>
      <c r="F835" s="4"/>
    </row>
    <row r="836" ht="15.75" customHeight="1">
      <c r="A836" s="4"/>
      <c r="B836" s="4"/>
      <c r="C836" s="4"/>
      <c r="D836" s="4"/>
      <c r="E836" s="4"/>
      <c r="F836" s="4"/>
    </row>
    <row r="837" ht="15.75" customHeight="1">
      <c r="A837" s="4"/>
      <c r="B837" s="4"/>
      <c r="C837" s="4"/>
      <c r="D837" s="4"/>
      <c r="E837" s="4"/>
      <c r="F837" s="4"/>
    </row>
    <row r="838" ht="15.75" customHeight="1">
      <c r="A838" s="4"/>
      <c r="B838" s="4"/>
      <c r="C838" s="4"/>
      <c r="D838" s="4"/>
      <c r="E838" s="4"/>
      <c r="F838" s="4"/>
    </row>
    <row r="839" ht="15.75" customHeight="1">
      <c r="A839" s="4"/>
      <c r="B839" s="4"/>
      <c r="C839" s="4"/>
      <c r="D839" s="4"/>
      <c r="E839" s="4"/>
      <c r="F839" s="4"/>
    </row>
    <row r="840" ht="15.75" customHeight="1">
      <c r="A840" s="4"/>
      <c r="B840" s="4"/>
      <c r="C840" s="4"/>
      <c r="D840" s="4"/>
      <c r="E840" s="4"/>
      <c r="F840" s="4"/>
    </row>
    <row r="841" ht="15.75" customHeight="1">
      <c r="A841" s="4"/>
      <c r="B841" s="4"/>
      <c r="C841" s="4"/>
      <c r="D841" s="4"/>
      <c r="E841" s="4"/>
      <c r="F841" s="4"/>
    </row>
    <row r="842" ht="15.75" customHeight="1">
      <c r="A842" s="4"/>
      <c r="B842" s="4"/>
      <c r="C842" s="4"/>
      <c r="D842" s="4"/>
      <c r="E842" s="4"/>
      <c r="F842" s="4"/>
    </row>
    <row r="843" ht="15.75" customHeight="1">
      <c r="A843" s="4"/>
      <c r="B843" s="4"/>
      <c r="C843" s="4"/>
      <c r="D843" s="4"/>
      <c r="E843" s="4"/>
      <c r="F843" s="4"/>
    </row>
    <row r="844" ht="15.75" customHeight="1">
      <c r="A844" s="4"/>
      <c r="B844" s="4"/>
      <c r="C844" s="4"/>
      <c r="D844" s="4"/>
      <c r="E844" s="4"/>
      <c r="F844" s="4"/>
    </row>
    <row r="845" ht="15.75" customHeight="1">
      <c r="A845" s="4"/>
      <c r="B845" s="4"/>
      <c r="C845" s="4"/>
      <c r="D845" s="4"/>
      <c r="E845" s="4"/>
      <c r="F845" s="4"/>
    </row>
    <row r="846" ht="15.75" customHeight="1">
      <c r="A846" s="4"/>
      <c r="B846" s="4"/>
      <c r="C846" s="4"/>
      <c r="D846" s="4"/>
      <c r="E846" s="4"/>
      <c r="F846" s="4"/>
    </row>
    <row r="847" ht="15.75" customHeight="1">
      <c r="A847" s="4"/>
      <c r="B847" s="4"/>
      <c r="C847" s="4"/>
      <c r="D847" s="4"/>
      <c r="E847" s="4"/>
      <c r="F847" s="4"/>
    </row>
    <row r="848" ht="15.75" customHeight="1">
      <c r="A848" s="4"/>
      <c r="B848" s="4"/>
      <c r="C848" s="4"/>
      <c r="D848" s="4"/>
      <c r="E848" s="4"/>
      <c r="F848" s="4"/>
    </row>
    <row r="849" ht="15.75" customHeight="1">
      <c r="A849" s="4"/>
      <c r="B849" s="4"/>
      <c r="C849" s="4"/>
      <c r="D849" s="4"/>
      <c r="E849" s="4"/>
      <c r="F849" s="4"/>
    </row>
    <row r="850" ht="15.75" customHeight="1">
      <c r="A850" s="4"/>
      <c r="B850" s="4"/>
      <c r="C850" s="4"/>
      <c r="D850" s="4"/>
      <c r="E850" s="4"/>
      <c r="F850" s="4"/>
    </row>
    <row r="851" ht="15.75" customHeight="1">
      <c r="A851" s="4"/>
      <c r="B851" s="4"/>
      <c r="C851" s="4"/>
      <c r="D851" s="4"/>
      <c r="E851" s="4"/>
      <c r="F851" s="4"/>
    </row>
    <row r="852" ht="15.75" customHeight="1">
      <c r="A852" s="4"/>
      <c r="B852" s="4"/>
      <c r="C852" s="4"/>
      <c r="D852" s="4"/>
      <c r="E852" s="4"/>
      <c r="F852" s="4"/>
    </row>
    <row r="853" ht="15.75" customHeight="1">
      <c r="A853" s="4"/>
      <c r="B853" s="4"/>
      <c r="C853" s="4"/>
      <c r="D853" s="4"/>
      <c r="E853" s="4"/>
      <c r="F853" s="4"/>
    </row>
    <row r="854" ht="15.75" customHeight="1">
      <c r="A854" s="4"/>
      <c r="B854" s="4"/>
      <c r="C854" s="4"/>
      <c r="D854" s="4"/>
      <c r="E854" s="4"/>
      <c r="F854" s="4"/>
    </row>
    <row r="855" ht="15.75" customHeight="1">
      <c r="A855" s="4"/>
      <c r="B855" s="4"/>
      <c r="C855" s="4"/>
      <c r="D855" s="4"/>
      <c r="E855" s="4"/>
      <c r="F855" s="4"/>
    </row>
    <row r="856" ht="15.75" customHeight="1">
      <c r="A856" s="4"/>
      <c r="B856" s="4"/>
      <c r="C856" s="4"/>
      <c r="D856" s="4"/>
      <c r="E856" s="4"/>
      <c r="F856" s="4"/>
    </row>
    <row r="857" ht="15.75" customHeight="1">
      <c r="A857" s="4"/>
      <c r="B857" s="4"/>
      <c r="C857" s="4"/>
      <c r="D857" s="4"/>
      <c r="E857" s="4"/>
      <c r="F857" s="4"/>
    </row>
    <row r="858" ht="15.75" customHeight="1">
      <c r="A858" s="4"/>
      <c r="B858" s="4"/>
      <c r="C858" s="4"/>
      <c r="D858" s="4"/>
      <c r="E858" s="4"/>
      <c r="F858" s="4"/>
    </row>
    <row r="859" ht="15.75" customHeight="1">
      <c r="A859" s="4"/>
      <c r="B859" s="4"/>
      <c r="C859" s="4"/>
      <c r="D859" s="4"/>
      <c r="E859" s="4"/>
      <c r="F859" s="4"/>
    </row>
    <row r="860" ht="15.75" customHeight="1">
      <c r="A860" s="4"/>
      <c r="B860" s="4"/>
      <c r="C860" s="4"/>
      <c r="D860" s="4"/>
      <c r="E860" s="4"/>
      <c r="F860" s="4"/>
    </row>
    <row r="861" ht="15.75" customHeight="1">
      <c r="A861" s="4"/>
      <c r="B861" s="4"/>
      <c r="C861" s="4"/>
      <c r="D861" s="4"/>
      <c r="E861" s="4"/>
      <c r="F861" s="4"/>
    </row>
    <row r="862" ht="15.75" customHeight="1">
      <c r="A862" s="4"/>
      <c r="B862" s="4"/>
      <c r="C862" s="4"/>
      <c r="D862" s="4"/>
      <c r="E862" s="4"/>
      <c r="F862" s="4"/>
    </row>
    <row r="863" ht="15.75" customHeight="1">
      <c r="A863" s="4"/>
      <c r="B863" s="4"/>
      <c r="C863" s="4"/>
      <c r="D863" s="4"/>
      <c r="E863" s="4"/>
      <c r="F863" s="4"/>
    </row>
    <row r="864" ht="15.75" customHeight="1">
      <c r="A864" s="4"/>
      <c r="B864" s="4"/>
      <c r="C864" s="4"/>
      <c r="D864" s="4"/>
      <c r="E864" s="4"/>
      <c r="F864" s="4"/>
    </row>
    <row r="865" ht="15.75" customHeight="1">
      <c r="A865" s="4"/>
      <c r="B865" s="4"/>
      <c r="C865" s="4"/>
      <c r="D865" s="4"/>
      <c r="E865" s="4"/>
      <c r="F865" s="4"/>
    </row>
    <row r="866" ht="15.75" customHeight="1">
      <c r="A866" s="4"/>
      <c r="B866" s="4"/>
      <c r="C866" s="4"/>
      <c r="D866" s="4"/>
      <c r="E866" s="4"/>
      <c r="F866" s="4"/>
    </row>
    <row r="867" ht="15.75" customHeight="1">
      <c r="A867" s="4"/>
      <c r="B867" s="4"/>
      <c r="C867" s="4"/>
      <c r="D867" s="4"/>
      <c r="E867" s="4"/>
      <c r="F867" s="4"/>
    </row>
    <row r="868" ht="15.75" customHeight="1">
      <c r="A868" s="4"/>
      <c r="B868" s="4"/>
      <c r="C868" s="4"/>
      <c r="D868" s="4"/>
      <c r="E868" s="4"/>
      <c r="F868" s="4"/>
    </row>
    <row r="869" ht="15.75" customHeight="1">
      <c r="A869" s="4"/>
      <c r="B869" s="4"/>
      <c r="C869" s="4"/>
      <c r="D869" s="4"/>
      <c r="E869" s="4"/>
      <c r="F869" s="4"/>
    </row>
    <row r="870" ht="15.75" customHeight="1">
      <c r="A870" s="4"/>
      <c r="B870" s="4"/>
      <c r="C870" s="4"/>
      <c r="D870" s="4"/>
      <c r="E870" s="4"/>
      <c r="F870" s="4"/>
    </row>
    <row r="871" ht="15.75" customHeight="1">
      <c r="A871" s="4"/>
      <c r="B871" s="4"/>
      <c r="C871" s="4"/>
      <c r="D871" s="4"/>
      <c r="E871" s="4"/>
      <c r="F871" s="4"/>
    </row>
    <row r="872" ht="15.75" customHeight="1">
      <c r="A872" s="4"/>
      <c r="B872" s="4"/>
      <c r="C872" s="4"/>
      <c r="D872" s="4"/>
      <c r="E872" s="4"/>
      <c r="F872" s="4"/>
    </row>
    <row r="873" ht="15.75" customHeight="1">
      <c r="A873" s="4"/>
      <c r="B873" s="4"/>
      <c r="C873" s="4"/>
      <c r="D873" s="4"/>
      <c r="E873" s="4"/>
      <c r="F873" s="4"/>
    </row>
    <row r="874" ht="15.75" customHeight="1">
      <c r="A874" s="4"/>
      <c r="B874" s="4"/>
      <c r="C874" s="4"/>
      <c r="D874" s="4"/>
      <c r="E874" s="4"/>
      <c r="F874" s="4"/>
    </row>
    <row r="875" ht="15.75" customHeight="1">
      <c r="A875" s="4"/>
      <c r="B875" s="4"/>
      <c r="C875" s="4"/>
      <c r="D875" s="4"/>
      <c r="E875" s="4"/>
      <c r="F875" s="4"/>
    </row>
    <row r="876" ht="15.75" customHeight="1">
      <c r="A876" s="4"/>
      <c r="B876" s="4"/>
      <c r="C876" s="4"/>
      <c r="D876" s="4"/>
      <c r="E876" s="4"/>
      <c r="F876" s="4"/>
    </row>
    <row r="877" ht="15.75" customHeight="1">
      <c r="A877" s="4"/>
      <c r="B877" s="4"/>
      <c r="C877" s="4"/>
      <c r="D877" s="4"/>
      <c r="E877" s="4"/>
      <c r="F877" s="4"/>
    </row>
    <row r="878" ht="15.75" customHeight="1">
      <c r="A878" s="4"/>
      <c r="B878" s="4"/>
      <c r="C878" s="4"/>
      <c r="D878" s="4"/>
      <c r="E878" s="4"/>
      <c r="F878" s="4"/>
    </row>
    <row r="879" ht="15.75" customHeight="1">
      <c r="A879" s="4"/>
      <c r="B879" s="4"/>
      <c r="C879" s="4"/>
      <c r="D879" s="4"/>
      <c r="E879" s="4"/>
      <c r="F879" s="4"/>
    </row>
    <row r="880" ht="15.75" customHeight="1">
      <c r="A880" s="4"/>
      <c r="B880" s="4"/>
      <c r="C880" s="4"/>
      <c r="D880" s="4"/>
      <c r="E880" s="4"/>
      <c r="F880" s="4"/>
    </row>
    <row r="881" ht="15.75" customHeight="1">
      <c r="A881" s="4"/>
      <c r="B881" s="4"/>
      <c r="C881" s="4"/>
      <c r="D881" s="4"/>
      <c r="E881" s="4"/>
      <c r="F881" s="4"/>
    </row>
    <row r="882" ht="15.75" customHeight="1">
      <c r="A882" s="4"/>
      <c r="B882" s="4"/>
      <c r="C882" s="4"/>
      <c r="D882" s="4"/>
      <c r="E882" s="4"/>
      <c r="F882" s="4"/>
    </row>
    <row r="883" ht="15.75" customHeight="1">
      <c r="A883" s="4"/>
      <c r="B883" s="4"/>
      <c r="C883" s="4"/>
      <c r="D883" s="4"/>
      <c r="E883" s="4"/>
      <c r="F883" s="4"/>
    </row>
    <row r="884" ht="15.75" customHeight="1">
      <c r="A884" s="4"/>
      <c r="B884" s="4"/>
      <c r="C884" s="4"/>
      <c r="D884" s="4"/>
      <c r="E884" s="4"/>
      <c r="F884" s="4"/>
    </row>
    <row r="885" ht="15.75" customHeight="1">
      <c r="A885" s="4"/>
      <c r="B885" s="4"/>
      <c r="C885" s="4"/>
      <c r="D885" s="4"/>
      <c r="E885" s="4"/>
      <c r="F885" s="4"/>
    </row>
    <row r="886" ht="15.75" customHeight="1">
      <c r="A886" s="4"/>
      <c r="B886" s="4"/>
      <c r="C886" s="4"/>
      <c r="D886" s="4"/>
      <c r="E886" s="4"/>
      <c r="F886" s="4"/>
    </row>
    <row r="887" ht="15.75" customHeight="1">
      <c r="A887" s="4"/>
      <c r="B887" s="4"/>
      <c r="C887" s="4"/>
      <c r="D887" s="4"/>
      <c r="E887" s="4"/>
      <c r="F887" s="4"/>
    </row>
    <row r="888" ht="15.75" customHeight="1">
      <c r="A888" s="4"/>
      <c r="B888" s="4"/>
      <c r="C888" s="4"/>
      <c r="D888" s="4"/>
      <c r="E888" s="4"/>
      <c r="F888" s="4"/>
    </row>
    <row r="889" ht="15.75" customHeight="1">
      <c r="A889" s="4"/>
      <c r="B889" s="4"/>
      <c r="C889" s="4"/>
      <c r="D889" s="4"/>
      <c r="E889" s="4"/>
      <c r="F889" s="4"/>
    </row>
    <row r="890" ht="15.75" customHeight="1">
      <c r="A890" s="4"/>
      <c r="B890" s="4"/>
      <c r="C890" s="4"/>
      <c r="D890" s="4"/>
      <c r="E890" s="4"/>
      <c r="F890" s="4"/>
    </row>
    <row r="891" ht="15.75" customHeight="1">
      <c r="A891" s="4"/>
      <c r="B891" s="4"/>
      <c r="C891" s="4"/>
      <c r="D891" s="4"/>
      <c r="E891" s="4"/>
      <c r="F891" s="4"/>
    </row>
    <row r="892" ht="15.75" customHeight="1">
      <c r="A892" s="4"/>
      <c r="B892" s="4"/>
      <c r="C892" s="4"/>
      <c r="D892" s="4"/>
      <c r="E892" s="4"/>
      <c r="F892" s="4"/>
    </row>
    <row r="893" ht="15.75" customHeight="1">
      <c r="A893" s="4"/>
      <c r="B893" s="4"/>
      <c r="C893" s="4"/>
      <c r="D893" s="4"/>
      <c r="E893" s="4"/>
      <c r="F893" s="4"/>
    </row>
    <row r="894" ht="15.75" customHeight="1">
      <c r="A894" s="4"/>
      <c r="B894" s="4"/>
      <c r="C894" s="4"/>
      <c r="D894" s="4"/>
      <c r="E894" s="4"/>
      <c r="F894" s="4"/>
    </row>
    <row r="895" ht="15.75" customHeight="1">
      <c r="A895" s="4"/>
      <c r="B895" s="4"/>
      <c r="C895" s="4"/>
      <c r="D895" s="4"/>
      <c r="E895" s="4"/>
      <c r="F895" s="4"/>
    </row>
    <row r="896" ht="15.75" customHeight="1">
      <c r="A896" s="4"/>
      <c r="B896" s="4"/>
      <c r="C896" s="4"/>
      <c r="D896" s="4"/>
      <c r="E896" s="4"/>
      <c r="F896" s="4"/>
    </row>
    <row r="897" ht="15.75" customHeight="1">
      <c r="A897" s="4"/>
      <c r="B897" s="4"/>
      <c r="C897" s="4"/>
      <c r="D897" s="4"/>
      <c r="E897" s="4"/>
      <c r="F897" s="4"/>
    </row>
    <row r="898" ht="15.75" customHeight="1">
      <c r="A898" s="4"/>
      <c r="B898" s="4"/>
      <c r="C898" s="4"/>
      <c r="D898" s="4"/>
      <c r="E898" s="4"/>
      <c r="F898" s="4"/>
    </row>
    <row r="899" ht="15.75" customHeight="1">
      <c r="A899" s="4"/>
      <c r="B899" s="4"/>
      <c r="C899" s="4"/>
      <c r="D899" s="4"/>
      <c r="E899" s="4"/>
      <c r="F899" s="4"/>
    </row>
    <row r="900" ht="15.75" customHeight="1">
      <c r="A900" s="4"/>
      <c r="B900" s="4"/>
      <c r="C900" s="4"/>
      <c r="D900" s="4"/>
      <c r="E900" s="4"/>
      <c r="F900" s="4"/>
    </row>
    <row r="901" ht="15.75" customHeight="1">
      <c r="A901" s="4"/>
      <c r="B901" s="4"/>
      <c r="C901" s="4"/>
      <c r="D901" s="4"/>
      <c r="E901" s="4"/>
      <c r="F901" s="4"/>
    </row>
    <row r="902" ht="15.75" customHeight="1">
      <c r="A902" s="4"/>
      <c r="B902" s="4"/>
      <c r="C902" s="4"/>
      <c r="D902" s="4"/>
      <c r="E902" s="4"/>
      <c r="F902" s="4"/>
    </row>
    <row r="903" ht="15.75" customHeight="1">
      <c r="A903" s="4"/>
      <c r="B903" s="4"/>
      <c r="C903" s="4"/>
      <c r="D903" s="4"/>
      <c r="E903" s="4"/>
      <c r="F903" s="4"/>
    </row>
    <row r="904" ht="15.75" customHeight="1">
      <c r="A904" s="4"/>
      <c r="B904" s="4"/>
      <c r="C904" s="4"/>
      <c r="D904" s="4"/>
      <c r="E904" s="4"/>
      <c r="F904" s="4"/>
    </row>
    <row r="905" ht="15.75" customHeight="1">
      <c r="A905" s="4"/>
      <c r="B905" s="4"/>
      <c r="C905" s="4"/>
      <c r="D905" s="4"/>
      <c r="E905" s="4"/>
      <c r="F905" s="4"/>
    </row>
    <row r="906" ht="15.75" customHeight="1">
      <c r="A906" s="4"/>
      <c r="B906" s="4"/>
      <c r="C906" s="4"/>
      <c r="D906" s="4"/>
      <c r="E906" s="4"/>
      <c r="F906" s="4"/>
    </row>
    <row r="907" ht="15.75" customHeight="1">
      <c r="A907" s="4"/>
      <c r="B907" s="4"/>
      <c r="C907" s="4"/>
      <c r="D907" s="4"/>
      <c r="E907" s="4"/>
      <c r="F907" s="4"/>
    </row>
    <row r="908" ht="15.75" customHeight="1">
      <c r="A908" s="4"/>
      <c r="B908" s="4"/>
      <c r="C908" s="4"/>
      <c r="D908" s="4"/>
      <c r="E908" s="4"/>
      <c r="F908" s="4"/>
    </row>
    <row r="909" ht="15.75" customHeight="1">
      <c r="A909" s="4"/>
      <c r="B909" s="4"/>
      <c r="C909" s="4"/>
      <c r="D909" s="4"/>
      <c r="E909" s="4"/>
      <c r="F909" s="4"/>
    </row>
    <row r="910" ht="15.75" customHeight="1">
      <c r="A910" s="4"/>
      <c r="B910" s="4"/>
      <c r="C910" s="4"/>
      <c r="D910" s="4"/>
      <c r="E910" s="4"/>
      <c r="F910" s="4"/>
    </row>
    <row r="911" ht="15.75" customHeight="1">
      <c r="A911" s="4"/>
      <c r="B911" s="4"/>
      <c r="C911" s="4"/>
      <c r="D911" s="4"/>
      <c r="E911" s="4"/>
      <c r="F911" s="4"/>
    </row>
    <row r="912" ht="15.75" customHeight="1">
      <c r="A912" s="4"/>
      <c r="B912" s="4"/>
      <c r="C912" s="4"/>
      <c r="D912" s="4"/>
      <c r="E912" s="4"/>
      <c r="F912" s="4"/>
    </row>
    <row r="913" ht="15.75" customHeight="1">
      <c r="A913" s="4"/>
      <c r="B913" s="4"/>
      <c r="C913" s="4"/>
      <c r="D913" s="4"/>
      <c r="E913" s="4"/>
      <c r="F913" s="4"/>
    </row>
    <row r="914" ht="15.75" customHeight="1">
      <c r="A914" s="4"/>
      <c r="B914" s="4"/>
      <c r="C914" s="4"/>
      <c r="D914" s="4"/>
      <c r="E914" s="4"/>
      <c r="F914" s="4"/>
    </row>
    <row r="915" ht="15.75" customHeight="1">
      <c r="A915" s="4"/>
      <c r="B915" s="4"/>
      <c r="C915" s="4"/>
      <c r="D915" s="4"/>
      <c r="E915" s="4"/>
      <c r="F915" s="4"/>
    </row>
    <row r="916" ht="15.75" customHeight="1">
      <c r="A916" s="4"/>
      <c r="B916" s="4"/>
      <c r="C916" s="4"/>
      <c r="D916" s="4"/>
      <c r="E916" s="4"/>
      <c r="F916" s="4"/>
    </row>
    <row r="917" ht="15.75" customHeight="1">
      <c r="A917" s="4"/>
      <c r="B917" s="4"/>
      <c r="C917" s="4"/>
      <c r="D917" s="4"/>
      <c r="E917" s="4"/>
      <c r="F917" s="4"/>
    </row>
    <row r="918" ht="15.75" customHeight="1">
      <c r="A918" s="4"/>
      <c r="B918" s="4"/>
      <c r="C918" s="4"/>
      <c r="D918" s="4"/>
      <c r="E918" s="4"/>
      <c r="F918" s="4"/>
    </row>
    <row r="919" ht="15.75" customHeight="1">
      <c r="A919" s="4"/>
      <c r="B919" s="4"/>
      <c r="C919" s="4"/>
      <c r="D919" s="4"/>
      <c r="E919" s="4"/>
      <c r="F919" s="4"/>
    </row>
    <row r="920" ht="15.75" customHeight="1">
      <c r="A920" s="4"/>
      <c r="B920" s="4"/>
      <c r="C920" s="4"/>
      <c r="D920" s="4"/>
      <c r="E920" s="4"/>
      <c r="F920" s="4"/>
    </row>
    <row r="921" ht="15.75" customHeight="1">
      <c r="A921" s="4"/>
      <c r="B921" s="4"/>
      <c r="C921" s="4"/>
      <c r="D921" s="4"/>
      <c r="E921" s="4"/>
      <c r="F921" s="4"/>
    </row>
    <row r="922" ht="15.75" customHeight="1">
      <c r="A922" s="4"/>
      <c r="B922" s="4"/>
      <c r="C922" s="4"/>
      <c r="D922" s="4"/>
      <c r="E922" s="4"/>
      <c r="F922" s="4"/>
    </row>
    <row r="923" ht="15.75" customHeight="1">
      <c r="A923" s="4"/>
      <c r="B923" s="4"/>
      <c r="C923" s="4"/>
      <c r="D923" s="4"/>
      <c r="E923" s="4"/>
      <c r="F923" s="4"/>
    </row>
    <row r="924" ht="15.75" customHeight="1">
      <c r="A924" s="4"/>
      <c r="B924" s="4"/>
      <c r="C924" s="4"/>
      <c r="D924" s="4"/>
      <c r="E924" s="4"/>
      <c r="F924" s="4"/>
    </row>
    <row r="925" ht="15.75" customHeight="1">
      <c r="A925" s="4"/>
      <c r="B925" s="4"/>
      <c r="C925" s="4"/>
      <c r="D925" s="4"/>
      <c r="E925" s="4"/>
      <c r="F925" s="4"/>
    </row>
    <row r="926" ht="15.75" customHeight="1">
      <c r="A926" s="4"/>
      <c r="B926" s="4"/>
      <c r="C926" s="4"/>
      <c r="D926" s="4"/>
      <c r="E926" s="4"/>
      <c r="F926" s="4"/>
    </row>
    <row r="927" ht="15.75" customHeight="1">
      <c r="A927" s="4"/>
      <c r="B927" s="4"/>
      <c r="C927" s="4"/>
      <c r="D927" s="4"/>
      <c r="E927" s="4"/>
      <c r="F927" s="4"/>
    </row>
    <row r="928" ht="15.75" customHeight="1">
      <c r="A928" s="4"/>
      <c r="B928" s="4"/>
      <c r="C928" s="4"/>
      <c r="D928" s="4"/>
      <c r="E928" s="4"/>
      <c r="F928" s="4"/>
    </row>
    <row r="929" ht="15.75" customHeight="1">
      <c r="A929" s="4"/>
      <c r="B929" s="4"/>
      <c r="C929" s="4"/>
      <c r="D929" s="4"/>
      <c r="E929" s="4"/>
      <c r="F929" s="4"/>
    </row>
    <row r="930" ht="15.75" customHeight="1">
      <c r="A930" s="4"/>
      <c r="B930" s="4"/>
      <c r="C930" s="4"/>
      <c r="D930" s="4"/>
      <c r="E930" s="4"/>
      <c r="F930" s="4"/>
    </row>
    <row r="931" ht="15.75" customHeight="1">
      <c r="A931" s="4"/>
      <c r="B931" s="4"/>
      <c r="C931" s="4"/>
      <c r="D931" s="4"/>
      <c r="E931" s="4"/>
      <c r="F931" s="4"/>
    </row>
    <row r="932" ht="15.75" customHeight="1">
      <c r="A932" s="4"/>
      <c r="B932" s="4"/>
      <c r="C932" s="4"/>
      <c r="D932" s="4"/>
      <c r="E932" s="4"/>
      <c r="F932" s="4"/>
    </row>
    <row r="933" ht="15.75" customHeight="1">
      <c r="A933" s="4"/>
      <c r="B933" s="4"/>
      <c r="C933" s="4"/>
      <c r="D933" s="4"/>
      <c r="E933" s="4"/>
      <c r="F933" s="4"/>
    </row>
    <row r="934" ht="15.75" customHeight="1">
      <c r="A934" s="4"/>
      <c r="B934" s="4"/>
      <c r="C934" s="4"/>
      <c r="D934" s="4"/>
      <c r="E934" s="4"/>
      <c r="F934" s="4"/>
    </row>
    <row r="935" ht="15.75" customHeight="1">
      <c r="A935" s="4"/>
      <c r="B935" s="4"/>
      <c r="C935" s="4"/>
      <c r="D935" s="4"/>
      <c r="E935" s="4"/>
      <c r="F935" s="4"/>
    </row>
    <row r="936" ht="15.75" customHeight="1">
      <c r="A936" s="4"/>
      <c r="B936" s="4"/>
      <c r="C936" s="4"/>
      <c r="D936" s="4"/>
      <c r="E936" s="4"/>
      <c r="F936" s="4"/>
    </row>
    <row r="937" ht="15.75" customHeight="1">
      <c r="A937" s="4"/>
      <c r="B937" s="4"/>
      <c r="C937" s="4"/>
      <c r="D937" s="4"/>
      <c r="E937" s="4"/>
      <c r="F937" s="4"/>
    </row>
    <row r="938" ht="15.75" customHeight="1">
      <c r="A938" s="4"/>
      <c r="B938" s="4"/>
      <c r="C938" s="4"/>
      <c r="D938" s="4"/>
      <c r="E938" s="4"/>
      <c r="F938" s="4"/>
    </row>
    <row r="939" ht="15.75" customHeight="1">
      <c r="A939" s="4"/>
      <c r="B939" s="4"/>
      <c r="C939" s="4"/>
      <c r="D939" s="4"/>
      <c r="E939" s="4"/>
      <c r="F939" s="4"/>
    </row>
    <row r="940" ht="15.75" customHeight="1">
      <c r="A940" s="4"/>
      <c r="B940" s="4"/>
      <c r="C940" s="4"/>
      <c r="D940" s="4"/>
      <c r="E940" s="4"/>
      <c r="F940" s="4"/>
    </row>
    <row r="941" ht="15.75" customHeight="1">
      <c r="A941" s="4"/>
      <c r="B941" s="4"/>
      <c r="C941" s="4"/>
      <c r="D941" s="4"/>
      <c r="E941" s="4"/>
      <c r="F941" s="4"/>
    </row>
    <row r="942" ht="15.75" customHeight="1">
      <c r="A942" s="4"/>
      <c r="B942" s="4"/>
      <c r="C942" s="4"/>
      <c r="D942" s="4"/>
      <c r="E942" s="4"/>
      <c r="F942" s="4"/>
    </row>
    <row r="943" ht="15.75" customHeight="1">
      <c r="A943" s="4"/>
      <c r="B943" s="4"/>
      <c r="C943" s="4"/>
      <c r="D943" s="4"/>
      <c r="E943" s="4"/>
      <c r="F943" s="4"/>
    </row>
    <row r="944" ht="15.75" customHeight="1">
      <c r="A944" s="4"/>
      <c r="B944" s="4"/>
      <c r="C944" s="4"/>
      <c r="D944" s="4"/>
      <c r="E944" s="4"/>
      <c r="F944" s="4"/>
    </row>
    <row r="945" ht="15.75" customHeight="1">
      <c r="A945" s="4"/>
      <c r="B945" s="4"/>
      <c r="C945" s="4"/>
      <c r="D945" s="4"/>
      <c r="E945" s="4"/>
      <c r="F945" s="4"/>
    </row>
    <row r="946" ht="15.75" customHeight="1">
      <c r="A946" s="4"/>
      <c r="B946" s="4"/>
      <c r="C946" s="4"/>
      <c r="D946" s="4"/>
      <c r="E946" s="4"/>
      <c r="F946" s="4"/>
    </row>
    <row r="947" ht="15.75" customHeight="1">
      <c r="A947" s="4"/>
      <c r="B947" s="4"/>
      <c r="C947" s="4"/>
      <c r="D947" s="4"/>
      <c r="E947" s="4"/>
      <c r="F947" s="4"/>
    </row>
    <row r="948" ht="15.75" customHeight="1">
      <c r="A948" s="4"/>
      <c r="B948" s="4"/>
      <c r="C948" s="4"/>
      <c r="D948" s="4"/>
      <c r="E948" s="4"/>
      <c r="F948" s="4"/>
    </row>
    <row r="949" ht="15.75" customHeight="1">
      <c r="A949" s="4"/>
      <c r="B949" s="4"/>
      <c r="C949" s="4"/>
      <c r="D949" s="4"/>
      <c r="E949" s="4"/>
      <c r="F949" s="4"/>
    </row>
    <row r="950" ht="15.75" customHeight="1">
      <c r="A950" s="4"/>
      <c r="B950" s="4"/>
      <c r="C950" s="4"/>
      <c r="D950" s="4"/>
      <c r="E950" s="4"/>
      <c r="F950" s="4"/>
    </row>
    <row r="951" ht="15.75" customHeight="1">
      <c r="A951" s="4"/>
      <c r="B951" s="4"/>
      <c r="C951" s="4"/>
      <c r="D951" s="4"/>
      <c r="E951" s="4"/>
      <c r="F951" s="4"/>
    </row>
    <row r="952" ht="15.75" customHeight="1">
      <c r="A952" s="4"/>
      <c r="B952" s="4"/>
      <c r="C952" s="4"/>
      <c r="D952" s="4"/>
      <c r="E952" s="4"/>
      <c r="F952" s="4"/>
    </row>
    <row r="953" ht="15.75" customHeight="1">
      <c r="A953" s="4"/>
      <c r="B953" s="4"/>
      <c r="C953" s="4"/>
      <c r="D953" s="4"/>
      <c r="E953" s="4"/>
      <c r="F953" s="4"/>
    </row>
    <row r="954" ht="15.75" customHeight="1">
      <c r="A954" s="4"/>
      <c r="B954" s="4"/>
      <c r="C954" s="4"/>
      <c r="D954" s="4"/>
      <c r="E954" s="4"/>
      <c r="F954" s="4"/>
    </row>
    <row r="955" ht="15.75" customHeight="1">
      <c r="A955" s="4"/>
      <c r="B955" s="4"/>
      <c r="C955" s="4"/>
      <c r="D955" s="4"/>
      <c r="E955" s="4"/>
      <c r="F955" s="4"/>
    </row>
    <row r="956" ht="15.75" customHeight="1">
      <c r="A956" s="4"/>
      <c r="B956" s="4"/>
      <c r="C956" s="4"/>
      <c r="D956" s="4"/>
      <c r="E956" s="4"/>
      <c r="F956" s="4"/>
    </row>
    <row r="957" ht="15.75" customHeight="1">
      <c r="A957" s="4"/>
      <c r="B957" s="4"/>
      <c r="C957" s="4"/>
      <c r="D957" s="4"/>
      <c r="E957" s="4"/>
      <c r="F957" s="4"/>
    </row>
    <row r="958" ht="15.75" customHeight="1">
      <c r="A958" s="4"/>
      <c r="B958" s="4"/>
      <c r="C958" s="4"/>
      <c r="D958" s="4"/>
      <c r="E958" s="4"/>
      <c r="F958" s="4"/>
    </row>
    <row r="959" ht="15.75" customHeight="1">
      <c r="A959" s="4"/>
      <c r="B959" s="4"/>
      <c r="C959" s="4"/>
      <c r="D959" s="4"/>
      <c r="E959" s="4"/>
      <c r="F959" s="4"/>
    </row>
    <row r="960" ht="15.75" customHeight="1">
      <c r="A960" s="4"/>
      <c r="B960" s="4"/>
      <c r="C960" s="4"/>
      <c r="D960" s="4"/>
      <c r="E960" s="4"/>
      <c r="F960" s="4"/>
    </row>
    <row r="961" ht="15.75" customHeight="1">
      <c r="A961" s="4"/>
      <c r="B961" s="4"/>
      <c r="C961" s="4"/>
      <c r="D961" s="4"/>
      <c r="E961" s="4"/>
      <c r="F961" s="4"/>
    </row>
    <row r="962" ht="15.75" customHeight="1">
      <c r="A962" s="4"/>
      <c r="B962" s="4"/>
      <c r="C962" s="4"/>
      <c r="D962" s="4"/>
      <c r="E962" s="4"/>
      <c r="F962" s="4"/>
    </row>
    <row r="963" ht="15.75" customHeight="1">
      <c r="A963" s="4"/>
      <c r="B963" s="4"/>
      <c r="C963" s="4"/>
      <c r="D963" s="4"/>
      <c r="E963" s="4"/>
      <c r="F963" s="4"/>
    </row>
    <row r="964" ht="15.75" customHeight="1">
      <c r="A964" s="4"/>
      <c r="B964" s="4"/>
      <c r="C964" s="4"/>
      <c r="D964" s="4"/>
      <c r="E964" s="4"/>
      <c r="F964" s="4"/>
    </row>
    <row r="965" ht="15.75" customHeight="1">
      <c r="A965" s="4"/>
      <c r="B965" s="4"/>
      <c r="C965" s="4"/>
      <c r="D965" s="4"/>
      <c r="E965" s="4"/>
      <c r="F965" s="4"/>
    </row>
    <row r="966" ht="15.75" customHeight="1">
      <c r="A966" s="4"/>
      <c r="B966" s="4"/>
      <c r="C966" s="4"/>
      <c r="D966" s="4"/>
      <c r="E966" s="4"/>
      <c r="F966" s="4"/>
    </row>
    <row r="967" ht="15.75" customHeight="1">
      <c r="A967" s="4"/>
      <c r="B967" s="4"/>
      <c r="C967" s="4"/>
      <c r="D967" s="4"/>
      <c r="E967" s="4"/>
      <c r="F967" s="4"/>
    </row>
    <row r="968" ht="15.75" customHeight="1">
      <c r="A968" s="4"/>
      <c r="B968" s="4"/>
      <c r="C968" s="4"/>
      <c r="D968" s="4"/>
      <c r="E968" s="4"/>
      <c r="F968" s="4"/>
    </row>
    <row r="969" ht="15.75" customHeight="1">
      <c r="A969" s="4"/>
      <c r="B969" s="4"/>
      <c r="C969" s="4"/>
      <c r="D969" s="4"/>
      <c r="E969" s="4"/>
      <c r="F969" s="4"/>
    </row>
    <row r="970" ht="15.75" customHeight="1">
      <c r="A970" s="4"/>
      <c r="B970" s="4"/>
      <c r="C970" s="4"/>
      <c r="D970" s="4"/>
      <c r="E970" s="4"/>
      <c r="F970" s="4"/>
    </row>
    <row r="971" ht="15.75" customHeight="1">
      <c r="A971" s="4"/>
      <c r="B971" s="4"/>
      <c r="C971" s="4"/>
      <c r="D971" s="4"/>
      <c r="E971" s="4"/>
      <c r="F971" s="4"/>
    </row>
    <row r="972" ht="15.75" customHeight="1">
      <c r="A972" s="4"/>
      <c r="B972" s="4"/>
      <c r="C972" s="4"/>
      <c r="D972" s="4"/>
      <c r="E972" s="4"/>
      <c r="F972" s="4"/>
    </row>
    <row r="973" ht="15.75" customHeight="1">
      <c r="A973" s="4"/>
      <c r="B973" s="4"/>
      <c r="C973" s="4"/>
      <c r="D973" s="4"/>
      <c r="E973" s="4"/>
      <c r="F973" s="4"/>
    </row>
    <row r="974" ht="15.75" customHeight="1">
      <c r="A974" s="4"/>
      <c r="B974" s="4"/>
      <c r="C974" s="4"/>
      <c r="D974" s="4"/>
      <c r="E974" s="4"/>
      <c r="F974" s="4"/>
    </row>
    <row r="975" ht="15.75" customHeight="1">
      <c r="A975" s="4"/>
      <c r="B975" s="4"/>
      <c r="C975" s="4"/>
      <c r="D975" s="4"/>
      <c r="E975" s="4"/>
      <c r="F975" s="4"/>
    </row>
    <row r="976" ht="15.75" customHeight="1">
      <c r="A976" s="4"/>
      <c r="B976" s="4"/>
      <c r="C976" s="4"/>
      <c r="D976" s="4"/>
      <c r="E976" s="4"/>
      <c r="F976" s="4"/>
    </row>
    <row r="977" ht="15.75" customHeight="1">
      <c r="A977" s="4"/>
      <c r="B977" s="4"/>
      <c r="C977" s="4"/>
      <c r="D977" s="4"/>
      <c r="E977" s="4"/>
      <c r="F977" s="4"/>
    </row>
    <row r="978" ht="15.75" customHeight="1">
      <c r="A978" s="4"/>
      <c r="B978" s="4"/>
      <c r="C978" s="4"/>
      <c r="D978" s="4"/>
      <c r="E978" s="4"/>
      <c r="F978" s="4"/>
    </row>
    <row r="979" ht="15.75" customHeight="1">
      <c r="A979" s="4"/>
      <c r="B979" s="4"/>
      <c r="C979" s="4"/>
      <c r="D979" s="4"/>
      <c r="E979" s="4"/>
      <c r="F979" s="4"/>
    </row>
    <row r="980" ht="15.75" customHeight="1">
      <c r="A980" s="4"/>
      <c r="B980" s="4"/>
      <c r="C980" s="4"/>
      <c r="D980" s="4"/>
      <c r="E980" s="4"/>
      <c r="F980" s="4"/>
    </row>
    <row r="981" ht="15.75" customHeight="1">
      <c r="A981" s="4"/>
      <c r="B981" s="4"/>
      <c r="C981" s="4"/>
      <c r="D981" s="4"/>
      <c r="E981" s="4"/>
      <c r="F981" s="4"/>
    </row>
    <row r="982" ht="15.75" customHeight="1">
      <c r="A982" s="4"/>
      <c r="B982" s="4"/>
      <c r="C982" s="4"/>
      <c r="D982" s="4"/>
      <c r="E982" s="4"/>
      <c r="F982" s="4"/>
    </row>
    <row r="983" ht="15.75" customHeight="1">
      <c r="A983" s="4"/>
      <c r="B983" s="4"/>
      <c r="C983" s="4"/>
      <c r="D983" s="4"/>
      <c r="E983" s="4"/>
      <c r="F983" s="4"/>
    </row>
    <row r="984" ht="15.75" customHeight="1">
      <c r="A984" s="4"/>
      <c r="B984" s="4"/>
      <c r="C984" s="4"/>
      <c r="D984" s="4"/>
      <c r="E984" s="4"/>
      <c r="F984" s="4"/>
    </row>
    <row r="985" ht="15.75" customHeight="1">
      <c r="A985" s="4"/>
      <c r="B985" s="4"/>
      <c r="C985" s="4"/>
      <c r="D985" s="4"/>
      <c r="E985" s="4"/>
      <c r="F985" s="4"/>
    </row>
    <row r="986" ht="15.75" customHeight="1">
      <c r="A986" s="4"/>
      <c r="B986" s="4"/>
      <c r="C986" s="4"/>
      <c r="D986" s="4"/>
      <c r="E986" s="4"/>
      <c r="F986" s="4"/>
    </row>
    <row r="987" ht="15.75" customHeight="1">
      <c r="A987" s="4"/>
      <c r="B987" s="4"/>
      <c r="C987" s="4"/>
      <c r="D987" s="4"/>
      <c r="E987" s="4"/>
      <c r="F987" s="4"/>
    </row>
    <row r="988" ht="15.75" customHeight="1">
      <c r="A988" s="4"/>
      <c r="B988" s="4"/>
      <c r="C988" s="4"/>
      <c r="D988" s="4"/>
      <c r="E988" s="4"/>
      <c r="F988" s="4"/>
    </row>
    <row r="989" ht="15.75" customHeight="1">
      <c r="A989" s="4"/>
      <c r="B989" s="4"/>
      <c r="C989" s="4"/>
      <c r="D989" s="4"/>
      <c r="E989" s="4"/>
      <c r="F989" s="4"/>
    </row>
    <row r="990" ht="15.75" customHeight="1">
      <c r="A990" s="4"/>
      <c r="B990" s="4"/>
      <c r="C990" s="4"/>
      <c r="D990" s="4"/>
      <c r="E990" s="4"/>
      <c r="F990" s="4"/>
    </row>
    <row r="991" ht="15.75" customHeight="1">
      <c r="A991" s="4"/>
      <c r="B991" s="4"/>
      <c r="C991" s="4"/>
      <c r="D991" s="4"/>
      <c r="E991" s="4"/>
      <c r="F991" s="4"/>
    </row>
    <row r="992" ht="15.75" customHeight="1">
      <c r="A992" s="4"/>
      <c r="B992" s="4"/>
      <c r="C992" s="4"/>
      <c r="D992" s="4"/>
      <c r="E992" s="4"/>
      <c r="F992" s="4"/>
    </row>
    <row r="993" ht="15.75" customHeight="1">
      <c r="A993" s="4"/>
      <c r="B993" s="4"/>
      <c r="C993" s="4"/>
      <c r="D993" s="4"/>
      <c r="E993" s="4"/>
      <c r="F993" s="4"/>
    </row>
    <row r="994" ht="15.75" customHeight="1">
      <c r="A994" s="4"/>
      <c r="B994" s="4"/>
      <c r="C994" s="4"/>
      <c r="D994" s="4"/>
      <c r="E994" s="4"/>
      <c r="F994" s="4"/>
    </row>
    <row r="995" ht="15.75" customHeight="1">
      <c r="A995" s="4"/>
      <c r="B995" s="4"/>
      <c r="C995" s="4"/>
      <c r="D995" s="4"/>
      <c r="E995" s="4"/>
      <c r="F995" s="4"/>
    </row>
    <row r="996" ht="15.75" customHeight="1">
      <c r="A996" s="4"/>
      <c r="B996" s="4"/>
      <c r="C996" s="4"/>
      <c r="D996" s="4"/>
      <c r="E996" s="4"/>
      <c r="F996" s="4"/>
    </row>
    <row r="997" ht="15.75" customHeight="1">
      <c r="A997" s="4"/>
      <c r="B997" s="4"/>
      <c r="C997" s="4"/>
      <c r="D997" s="4"/>
      <c r="E997" s="4"/>
      <c r="F997" s="4"/>
    </row>
    <row r="998" ht="15.75" customHeight="1">
      <c r="A998" s="4"/>
      <c r="B998" s="4"/>
      <c r="C998" s="4"/>
      <c r="D998" s="4"/>
      <c r="E998" s="4"/>
      <c r="F998" s="4"/>
    </row>
    <row r="999" ht="15.75" customHeight="1">
      <c r="A999" s="4"/>
      <c r="B999" s="4"/>
      <c r="C999" s="4"/>
      <c r="D999" s="4"/>
      <c r="E999" s="4"/>
      <c r="F999" s="4"/>
    </row>
    <row r="1000" ht="15.75" customHeight="1">
      <c r="A1000" s="4"/>
      <c r="B1000" s="4"/>
      <c r="C1000" s="4"/>
      <c r="D1000" s="4"/>
      <c r="E1000" s="4"/>
      <c r="F1000" s="4"/>
    </row>
  </sheetData>
  <mergeCells count="12">
    <mergeCell ref="B10:F10"/>
    <mergeCell ref="B11:F11"/>
    <mergeCell ref="B13:F13"/>
    <mergeCell ref="B15:F15"/>
    <mergeCell ref="A17:F17"/>
    <mergeCell ref="A1:F1"/>
    <mergeCell ref="B3:F3"/>
    <mergeCell ref="B5:F5"/>
    <mergeCell ref="B6:F6"/>
    <mergeCell ref="B7:F7"/>
    <mergeCell ref="B8:F8"/>
    <mergeCell ref="B9:F9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4.0"/>
    <col customWidth="1" min="3" max="3" width="18.0"/>
    <col customWidth="1" min="4" max="5" width="11.0"/>
    <col customWidth="1" min="6" max="6" width="46.0"/>
    <col customWidth="1" min="7" max="26" width="8.71"/>
  </cols>
  <sheetData>
    <row r="1" ht="25.5" customHeight="1">
      <c r="A1" s="1" t="s">
        <v>0</v>
      </c>
      <c r="B1" s="2"/>
      <c r="C1" s="2"/>
      <c r="D1" s="2"/>
      <c r="E1" s="2"/>
      <c r="F1" s="3"/>
    </row>
    <row r="2" ht="15.0" customHeight="1">
      <c r="A2" s="5" t="s">
        <v>4</v>
      </c>
      <c r="B2" s="4"/>
      <c r="C2" s="4"/>
      <c r="D2" s="4"/>
      <c r="E2" s="4"/>
      <c r="F2" s="4"/>
    </row>
    <row r="3">
      <c r="A3" s="4"/>
      <c r="B3" s="4"/>
      <c r="C3" s="4"/>
      <c r="D3" s="4"/>
      <c r="E3" s="4"/>
      <c r="F3" s="4"/>
    </row>
    <row r="4" ht="19.5" customHeight="1">
      <c r="A4" s="9" t="s">
        <v>9</v>
      </c>
      <c r="B4" s="2"/>
      <c r="C4" s="2"/>
      <c r="D4" s="2"/>
      <c r="E4" s="2"/>
      <c r="F4" s="3"/>
    </row>
    <row r="5" ht="27.75" customHeight="1">
      <c r="A5" s="8" t="s">
        <v>17</v>
      </c>
      <c r="B5" s="8" t="s">
        <v>26</v>
      </c>
      <c r="C5" s="8" t="s">
        <v>28</v>
      </c>
      <c r="D5" s="8" t="s">
        <v>31</v>
      </c>
      <c r="E5" s="8" t="s">
        <v>33</v>
      </c>
      <c r="F5" s="8" t="s">
        <v>35</v>
      </c>
    </row>
    <row r="6" ht="15.0" customHeight="1">
      <c r="A6" s="10" t="s">
        <v>40</v>
      </c>
      <c r="B6" s="10">
        <v>25.0</v>
      </c>
      <c r="C6" s="10">
        <v>1.0</v>
      </c>
      <c r="D6" s="10">
        <v>0.0</v>
      </c>
      <c r="E6" s="10">
        <v>0.0</v>
      </c>
      <c r="F6" s="11" t="s">
        <v>52</v>
      </c>
    </row>
    <row r="7" ht="15.0" customHeight="1">
      <c r="A7" s="10" t="s">
        <v>57</v>
      </c>
      <c r="B7" s="10">
        <v>40.0</v>
      </c>
      <c r="C7" s="10">
        <v>1.0</v>
      </c>
      <c r="D7" s="10">
        <v>1.0</v>
      </c>
      <c r="E7" s="10">
        <v>0.0</v>
      </c>
      <c r="F7" s="11" t="s">
        <v>60</v>
      </c>
    </row>
    <row r="8" ht="15.0" customHeight="1">
      <c r="A8" s="10" t="s">
        <v>61</v>
      </c>
      <c r="B8" s="10">
        <v>45.0</v>
      </c>
      <c r="C8" s="10">
        <v>1.0</v>
      </c>
      <c r="D8" s="10">
        <v>1.0</v>
      </c>
      <c r="E8" s="10">
        <v>1.0</v>
      </c>
      <c r="F8" s="11" t="s">
        <v>63</v>
      </c>
    </row>
    <row r="9" ht="15.0" customHeight="1">
      <c r="A9" s="10" t="s">
        <v>64</v>
      </c>
      <c r="B9" s="10">
        <v>35.0</v>
      </c>
      <c r="C9" s="10">
        <v>1.0</v>
      </c>
      <c r="D9" s="10">
        <v>0.0</v>
      </c>
      <c r="E9" s="10">
        <v>0.0</v>
      </c>
      <c r="F9" s="11" t="s">
        <v>66</v>
      </c>
    </row>
    <row r="10" ht="15.0" customHeight="1">
      <c r="A10" s="10" t="s">
        <v>67</v>
      </c>
      <c r="B10" s="10">
        <v>60.0</v>
      </c>
      <c r="C10" s="10">
        <v>1.0</v>
      </c>
      <c r="D10" s="10">
        <v>1.0</v>
      </c>
      <c r="E10" s="10">
        <v>1.0</v>
      </c>
      <c r="F10" s="11" t="s">
        <v>70</v>
      </c>
    </row>
    <row r="11" ht="15.0" customHeight="1">
      <c r="A11" s="10" t="s">
        <v>71</v>
      </c>
      <c r="B11" s="10">
        <v>15.0</v>
      </c>
      <c r="C11" s="10">
        <v>0.0</v>
      </c>
      <c r="D11" s="10">
        <v>1.0</v>
      </c>
      <c r="E11" s="10">
        <v>0.0</v>
      </c>
      <c r="F11" s="11" t="s">
        <v>72</v>
      </c>
    </row>
    <row r="12" ht="15.0" customHeight="1">
      <c r="A12" s="10" t="s">
        <v>33</v>
      </c>
      <c r="B12" s="10">
        <v>5.0</v>
      </c>
      <c r="C12" s="10">
        <v>0.0</v>
      </c>
      <c r="D12" s="10">
        <v>0.0</v>
      </c>
      <c r="E12" s="10">
        <v>1.0</v>
      </c>
      <c r="F12" s="11" t="s">
        <v>72</v>
      </c>
    </row>
    <row r="13" ht="15.0" customHeight="1">
      <c r="A13" s="10" t="s">
        <v>75</v>
      </c>
      <c r="B13" s="10">
        <v>25.0</v>
      </c>
      <c r="C13" s="10">
        <v>1.0</v>
      </c>
      <c r="D13" s="10">
        <v>0.0</v>
      </c>
      <c r="E13" s="10">
        <v>0.0</v>
      </c>
      <c r="F13" s="11" t="s">
        <v>76</v>
      </c>
    </row>
    <row r="14" ht="15.0" customHeight="1">
      <c r="A14" s="10" t="s">
        <v>78</v>
      </c>
      <c r="B14" s="10">
        <v>25.0</v>
      </c>
      <c r="C14" s="10">
        <v>0.0</v>
      </c>
      <c r="D14" s="10">
        <v>0.0</v>
      </c>
      <c r="E14" s="10">
        <v>0.0</v>
      </c>
      <c r="F14" s="11" t="s">
        <v>79</v>
      </c>
    </row>
    <row r="15">
      <c r="A15" s="4"/>
      <c r="B15" s="4"/>
      <c r="C15" s="4"/>
      <c r="D15" s="4"/>
      <c r="E15" s="4"/>
      <c r="F15" s="4"/>
    </row>
    <row r="16">
      <c r="A16" s="4"/>
      <c r="B16" s="4"/>
      <c r="C16" s="4"/>
      <c r="D16" s="4"/>
      <c r="E16" s="4"/>
      <c r="F16" s="4"/>
    </row>
    <row r="17" ht="19.5" customHeight="1">
      <c r="A17" s="9" t="s">
        <v>83</v>
      </c>
      <c r="B17" s="2"/>
      <c r="C17" s="2"/>
      <c r="D17" s="2"/>
      <c r="E17" s="2"/>
      <c r="F17" s="3"/>
    </row>
    <row r="18" ht="27.75" customHeight="1">
      <c r="A18" s="8" t="s">
        <v>20</v>
      </c>
      <c r="B18" s="8" t="s">
        <v>89</v>
      </c>
      <c r="C18" s="8" t="s">
        <v>46</v>
      </c>
      <c r="D18" s="8"/>
      <c r="E18" s="8"/>
      <c r="F18" s="8" t="s">
        <v>35</v>
      </c>
    </row>
    <row r="19" ht="15.0" customHeight="1">
      <c r="A19" s="10" t="s">
        <v>90</v>
      </c>
      <c r="B19" s="10">
        <v>0.0</v>
      </c>
      <c r="C19" s="10" t="s">
        <v>92</v>
      </c>
      <c r="D19" s="4"/>
      <c r="E19" s="4"/>
      <c r="F19" s="4"/>
    </row>
    <row r="20" ht="15.0" customHeight="1">
      <c r="A20" s="10" t="s">
        <v>94</v>
      </c>
      <c r="B20" s="10">
        <v>0.0</v>
      </c>
      <c r="C20" s="10" t="s">
        <v>92</v>
      </c>
      <c r="D20" s="4"/>
      <c r="E20" s="4"/>
      <c r="F20" s="4"/>
    </row>
    <row r="21" ht="15.0" customHeight="1">
      <c r="A21" s="10" t="s">
        <v>95</v>
      </c>
      <c r="B21" s="10">
        <v>0.0</v>
      </c>
      <c r="C21" s="10" t="s">
        <v>92</v>
      </c>
      <c r="D21" s="4"/>
      <c r="E21" s="4"/>
      <c r="F21" s="4"/>
    </row>
    <row r="22" ht="15.0" customHeight="1">
      <c r="A22" s="10" t="s">
        <v>98</v>
      </c>
      <c r="B22" s="10">
        <v>0.0</v>
      </c>
      <c r="C22" s="10" t="s">
        <v>92</v>
      </c>
      <c r="D22" s="4"/>
      <c r="E22" s="4"/>
      <c r="F22" s="4"/>
    </row>
    <row r="23" ht="15.0" customHeight="1">
      <c r="A23" s="10" t="s">
        <v>99</v>
      </c>
      <c r="B23" s="10">
        <v>0.0</v>
      </c>
      <c r="C23" s="10" t="s">
        <v>92</v>
      </c>
      <c r="D23" s="4"/>
      <c r="E23" s="4"/>
      <c r="F23" s="4"/>
    </row>
    <row r="24" ht="15.0" customHeight="1">
      <c r="A24" s="10" t="s">
        <v>102</v>
      </c>
      <c r="B24" s="10">
        <v>0.0</v>
      </c>
      <c r="C24" s="10" t="s">
        <v>92</v>
      </c>
      <c r="D24" s="4"/>
      <c r="E24" s="4"/>
      <c r="F24" s="4"/>
    </row>
    <row r="25" ht="15.0" customHeight="1">
      <c r="A25" s="10" t="s">
        <v>104</v>
      </c>
      <c r="B25" s="10">
        <v>0.0</v>
      </c>
      <c r="C25" s="10" t="s">
        <v>106</v>
      </c>
      <c r="D25" s="4"/>
      <c r="E25" s="4"/>
      <c r="F25" s="4"/>
    </row>
    <row r="26" ht="15.0" customHeight="1">
      <c r="A26" s="10" t="s">
        <v>108</v>
      </c>
      <c r="B26" s="10">
        <v>0.0</v>
      </c>
      <c r="C26" s="10" t="s">
        <v>106</v>
      </c>
      <c r="D26" s="4"/>
      <c r="E26" s="4"/>
      <c r="F26" s="4"/>
    </row>
    <row r="27" ht="15.0" customHeight="1">
      <c r="A27" s="10" t="s">
        <v>109</v>
      </c>
      <c r="B27" s="10">
        <v>0.0</v>
      </c>
      <c r="C27" s="10" t="s">
        <v>106</v>
      </c>
      <c r="D27" s="4"/>
      <c r="E27" s="4"/>
      <c r="F27" s="4"/>
    </row>
    <row r="28" ht="15.0" customHeight="1">
      <c r="A28" s="10" t="s">
        <v>111</v>
      </c>
      <c r="B28" s="10">
        <v>3.0</v>
      </c>
      <c r="C28" s="10" t="s">
        <v>106</v>
      </c>
      <c r="D28" s="4"/>
      <c r="E28" s="4"/>
      <c r="F28" s="5" t="s">
        <v>112</v>
      </c>
    </row>
    <row r="29" ht="15.0" customHeight="1">
      <c r="A29" s="10" t="s">
        <v>113</v>
      </c>
      <c r="B29" s="10">
        <v>6.0</v>
      </c>
      <c r="C29" s="10" t="s">
        <v>106</v>
      </c>
      <c r="D29" s="4"/>
      <c r="E29" s="4"/>
      <c r="F29" s="4"/>
    </row>
    <row r="30" ht="15.0" customHeight="1">
      <c r="A30" s="10" t="s">
        <v>114</v>
      </c>
      <c r="B30" s="10">
        <v>10.0</v>
      </c>
      <c r="C30" s="10" t="s">
        <v>106</v>
      </c>
      <c r="D30" s="4"/>
      <c r="E30" s="4"/>
      <c r="F30" s="4"/>
    </row>
    <row r="31" ht="15.75" customHeight="1">
      <c r="A31" s="4"/>
      <c r="B31" s="4"/>
      <c r="C31" s="4"/>
      <c r="D31" s="4"/>
      <c r="E31" s="4"/>
      <c r="F31" s="4"/>
    </row>
    <row r="32" ht="15.75" customHeight="1">
      <c r="A32" s="4"/>
      <c r="B32" s="4"/>
      <c r="C32" s="4"/>
      <c r="D32" s="4"/>
      <c r="E32" s="4"/>
      <c r="F32" s="4"/>
    </row>
    <row r="33" ht="19.5" customHeight="1">
      <c r="A33" s="9" t="s">
        <v>115</v>
      </c>
      <c r="B33" s="2"/>
      <c r="C33" s="2"/>
      <c r="D33" s="2"/>
      <c r="E33" s="2"/>
      <c r="F33" s="3"/>
    </row>
    <row r="34" ht="27.75" customHeight="1">
      <c r="A34" s="8" t="s">
        <v>36</v>
      </c>
      <c r="B34" s="8" t="s">
        <v>89</v>
      </c>
      <c r="C34" s="8"/>
      <c r="D34" s="8"/>
      <c r="E34" s="8"/>
      <c r="F34" s="8" t="s">
        <v>35</v>
      </c>
    </row>
    <row r="35" ht="15.0" customHeight="1">
      <c r="A35" s="10" t="s">
        <v>116</v>
      </c>
      <c r="B35" s="10">
        <v>0.0</v>
      </c>
      <c r="C35" s="4"/>
      <c r="D35" s="4"/>
      <c r="E35" s="4"/>
      <c r="F35" s="5" t="s">
        <v>117</v>
      </c>
    </row>
    <row r="36" ht="15.0" customHeight="1">
      <c r="A36" s="10" t="s">
        <v>118</v>
      </c>
      <c r="B36" s="10">
        <v>0.0</v>
      </c>
      <c r="C36" s="4"/>
      <c r="D36" s="4"/>
      <c r="E36" s="4"/>
      <c r="F36" s="5" t="s">
        <v>117</v>
      </c>
    </row>
    <row r="37" ht="15.0" customHeight="1">
      <c r="A37" s="10" t="s">
        <v>119</v>
      </c>
      <c r="B37" s="10">
        <v>5.0</v>
      </c>
      <c r="C37" s="4"/>
      <c r="D37" s="4"/>
      <c r="E37" s="4"/>
      <c r="F37" s="5" t="s">
        <v>120</v>
      </c>
    </row>
    <row r="38" ht="15.0" customHeight="1">
      <c r="A38" s="10" t="s">
        <v>121</v>
      </c>
      <c r="B38" s="10">
        <v>5.0</v>
      </c>
      <c r="C38" s="4"/>
      <c r="D38" s="4"/>
      <c r="E38" s="4"/>
      <c r="F38" s="5" t="s">
        <v>120</v>
      </c>
    </row>
    <row r="39" ht="15.0" customHeight="1">
      <c r="A39" s="10" t="s">
        <v>122</v>
      </c>
      <c r="B39" s="10">
        <v>5.0</v>
      </c>
      <c r="C39" s="4"/>
      <c r="D39" s="4"/>
      <c r="E39" s="4"/>
      <c r="F39" s="5" t="s">
        <v>120</v>
      </c>
    </row>
    <row r="40" ht="15.0" customHeight="1">
      <c r="A40" s="10" t="s">
        <v>123</v>
      </c>
      <c r="B40" s="10">
        <v>5.0</v>
      </c>
      <c r="C40" s="4"/>
      <c r="D40" s="4"/>
      <c r="E40" s="4"/>
      <c r="F40" s="5" t="s">
        <v>124</v>
      </c>
    </row>
    <row r="41" ht="15.0" customHeight="1">
      <c r="A41" s="10" t="s">
        <v>126</v>
      </c>
      <c r="B41" s="10">
        <v>10.0</v>
      </c>
      <c r="C41" s="4"/>
      <c r="D41" s="4"/>
      <c r="E41" s="4"/>
      <c r="F41" s="5" t="s">
        <v>127</v>
      </c>
    </row>
    <row r="42" ht="15.0" customHeight="1">
      <c r="A42" s="10" t="s">
        <v>128</v>
      </c>
      <c r="B42" s="10">
        <v>0.0</v>
      </c>
      <c r="C42" s="4"/>
      <c r="D42" s="4"/>
      <c r="E42" s="4"/>
      <c r="F42" s="5" t="s">
        <v>129</v>
      </c>
    </row>
    <row r="43" ht="15.75" customHeight="1">
      <c r="A43" s="4"/>
      <c r="B43" s="4"/>
      <c r="C43" s="4"/>
      <c r="D43" s="4"/>
      <c r="E43" s="4"/>
      <c r="F43" s="4"/>
    </row>
    <row r="44" ht="15.75" customHeight="1">
      <c r="A44" s="4"/>
      <c r="B44" s="4"/>
      <c r="C44" s="4"/>
      <c r="D44" s="4"/>
      <c r="E44" s="4"/>
      <c r="F44" s="4"/>
    </row>
    <row r="45" ht="19.5" customHeight="1">
      <c r="A45" s="9" t="s">
        <v>133</v>
      </c>
      <c r="B45" s="2"/>
      <c r="C45" s="2"/>
      <c r="D45" s="2"/>
      <c r="E45" s="2"/>
      <c r="F45" s="3"/>
    </row>
    <row r="46" ht="27.75" customHeight="1">
      <c r="A46" s="8" t="s">
        <v>34</v>
      </c>
      <c r="B46" s="8" t="s">
        <v>89</v>
      </c>
      <c r="C46" s="8"/>
      <c r="D46" s="8"/>
      <c r="E46" s="8"/>
      <c r="F46" s="8" t="s">
        <v>35</v>
      </c>
    </row>
    <row r="47" ht="15.0" customHeight="1">
      <c r="A47" s="10" t="s">
        <v>136</v>
      </c>
      <c r="B47" s="10">
        <v>0.0</v>
      </c>
      <c r="C47" s="4"/>
      <c r="D47" s="4"/>
      <c r="E47" s="4"/>
      <c r="F47" s="5" t="s">
        <v>137</v>
      </c>
    </row>
    <row r="48" ht="15.0" customHeight="1">
      <c r="A48" s="10" t="s">
        <v>138</v>
      </c>
      <c r="B48" s="10">
        <v>0.0</v>
      </c>
      <c r="C48" s="4"/>
      <c r="D48" s="4"/>
      <c r="E48" s="4"/>
      <c r="F48" s="5" t="s">
        <v>137</v>
      </c>
    </row>
    <row r="49" ht="15.0" customHeight="1">
      <c r="A49" s="10" t="s">
        <v>139</v>
      </c>
      <c r="B49" s="10">
        <v>0.0</v>
      </c>
      <c r="C49" s="4"/>
      <c r="D49" s="4"/>
      <c r="E49" s="4"/>
      <c r="F49" s="5" t="s">
        <v>137</v>
      </c>
    </row>
    <row r="50" ht="15.0" customHeight="1">
      <c r="A50" s="10" t="s">
        <v>141</v>
      </c>
      <c r="B50" s="10">
        <v>0.0</v>
      </c>
      <c r="C50" s="4"/>
      <c r="D50" s="4"/>
      <c r="E50" s="4"/>
      <c r="F50" s="5" t="s">
        <v>137</v>
      </c>
    </row>
    <row r="51" ht="15.0" customHeight="1">
      <c r="A51" s="10" t="s">
        <v>144</v>
      </c>
      <c r="B51" s="10">
        <v>10.0</v>
      </c>
      <c r="C51" s="4"/>
      <c r="D51" s="4"/>
      <c r="E51" s="4"/>
      <c r="F51" s="5" t="s">
        <v>145</v>
      </c>
    </row>
    <row r="52" ht="15.75" customHeight="1">
      <c r="A52" s="4"/>
      <c r="B52" s="4"/>
      <c r="C52" s="4"/>
      <c r="D52" s="4"/>
      <c r="E52" s="4"/>
      <c r="F52" s="4"/>
    </row>
    <row r="53" ht="15.75" customHeight="1">
      <c r="A53" s="4"/>
      <c r="B53" s="4"/>
      <c r="C53" s="4"/>
      <c r="D53" s="4"/>
      <c r="E53" s="4"/>
      <c r="F53" s="4"/>
    </row>
    <row r="54" ht="19.5" customHeight="1">
      <c r="A54" s="9" t="s">
        <v>148</v>
      </c>
      <c r="B54" s="2"/>
      <c r="C54" s="2"/>
      <c r="D54" s="2"/>
      <c r="E54" s="2"/>
      <c r="F54" s="3"/>
    </row>
    <row r="55" ht="27.75" customHeight="1">
      <c r="A55" s="8" t="s">
        <v>150</v>
      </c>
      <c r="B55" s="8" t="s">
        <v>89</v>
      </c>
      <c r="C55" s="8"/>
      <c r="D55" s="8"/>
      <c r="E55" s="8"/>
      <c r="F55" s="8" t="s">
        <v>35</v>
      </c>
    </row>
    <row r="56" ht="15.0" customHeight="1">
      <c r="A56" s="10" t="s">
        <v>151</v>
      </c>
      <c r="B56" s="10">
        <v>0.0</v>
      </c>
      <c r="C56" s="4"/>
      <c r="D56" s="4"/>
      <c r="E56" s="4"/>
      <c r="F56" s="5" t="s">
        <v>154</v>
      </c>
    </row>
    <row r="57" ht="15.0" customHeight="1">
      <c r="A57" s="10" t="s">
        <v>155</v>
      </c>
      <c r="B57" s="10">
        <v>0.0</v>
      </c>
      <c r="C57" s="4"/>
      <c r="D57" s="4"/>
      <c r="E57" s="4"/>
      <c r="F57" s="5"/>
    </row>
    <row r="58" ht="15.0" customHeight="1">
      <c r="A58" s="10" t="s">
        <v>156</v>
      </c>
      <c r="B58" s="10">
        <v>5.0</v>
      </c>
      <c r="C58" s="4"/>
      <c r="D58" s="4"/>
      <c r="E58" s="4"/>
      <c r="F58" s="5" t="s">
        <v>158</v>
      </c>
    </row>
    <row r="59" ht="15.0" customHeight="1">
      <c r="A59" s="10" t="s">
        <v>159</v>
      </c>
      <c r="B59" s="10">
        <v>5.0</v>
      </c>
      <c r="C59" s="4"/>
      <c r="D59" s="4"/>
      <c r="E59" s="4"/>
      <c r="F59" s="5" t="s">
        <v>158</v>
      </c>
    </row>
    <row r="60" ht="15.0" customHeight="1">
      <c r="A60" s="10" t="s">
        <v>161</v>
      </c>
      <c r="B60" s="10">
        <v>5.0</v>
      </c>
      <c r="C60" s="4"/>
      <c r="D60" s="4"/>
      <c r="E60" s="4"/>
      <c r="F60" s="5" t="s">
        <v>158</v>
      </c>
    </row>
    <row r="61" ht="15.0" customHeight="1">
      <c r="A61" s="10" t="s">
        <v>162</v>
      </c>
      <c r="B61" s="10">
        <v>5.0</v>
      </c>
      <c r="C61" s="4"/>
      <c r="D61" s="4"/>
      <c r="E61" s="4"/>
      <c r="F61" s="5" t="s">
        <v>158</v>
      </c>
    </row>
    <row r="62" ht="15.0" customHeight="1">
      <c r="A62" s="10" t="s">
        <v>163</v>
      </c>
      <c r="B62" s="10">
        <v>5.0</v>
      </c>
      <c r="C62" s="4"/>
      <c r="D62" s="4"/>
      <c r="E62" s="4"/>
      <c r="F62" s="5" t="s">
        <v>158</v>
      </c>
    </row>
    <row r="63" ht="15.75" customHeight="1">
      <c r="A63" s="4"/>
      <c r="B63" s="4"/>
      <c r="C63" s="4"/>
      <c r="D63" s="4"/>
      <c r="E63" s="4"/>
      <c r="F63" s="4"/>
    </row>
    <row r="64" ht="15.75" customHeight="1">
      <c r="A64" s="4"/>
      <c r="B64" s="4"/>
      <c r="C64" s="4"/>
      <c r="D64" s="4"/>
      <c r="E64" s="4"/>
      <c r="F64" s="4"/>
    </row>
    <row r="65" ht="19.5" customHeight="1">
      <c r="A65" s="9" t="s">
        <v>165</v>
      </c>
      <c r="B65" s="2"/>
      <c r="C65" s="2"/>
      <c r="D65" s="2"/>
      <c r="E65" s="2"/>
      <c r="F65" s="3"/>
    </row>
    <row r="66" ht="27.75" customHeight="1">
      <c r="A66" s="8" t="s">
        <v>27</v>
      </c>
      <c r="B66" s="8" t="s">
        <v>30</v>
      </c>
      <c r="C66" s="8" t="s">
        <v>167</v>
      </c>
      <c r="D66" s="8" t="s">
        <v>169</v>
      </c>
      <c r="E66" s="8" t="s">
        <v>164</v>
      </c>
      <c r="F66" s="8" t="s">
        <v>110</v>
      </c>
    </row>
    <row r="67" ht="15.0" customHeight="1">
      <c r="A67" s="10" t="s">
        <v>140</v>
      </c>
      <c r="B67" s="10" t="s">
        <v>146</v>
      </c>
      <c r="C67" s="10" t="s">
        <v>170</v>
      </c>
      <c r="D67" s="10" t="s">
        <v>160</v>
      </c>
      <c r="E67" s="10" t="s">
        <v>168</v>
      </c>
      <c r="F67" s="10" t="s">
        <v>173</v>
      </c>
    </row>
    <row r="68" ht="15.0" customHeight="1">
      <c r="A68" s="10" t="s">
        <v>174</v>
      </c>
      <c r="B68" s="10" t="s">
        <v>175</v>
      </c>
      <c r="C68" s="10" t="s">
        <v>176</v>
      </c>
      <c r="D68" s="10" t="s">
        <v>166</v>
      </c>
      <c r="E68" s="10" t="s">
        <v>177</v>
      </c>
      <c r="F68" s="10" t="s">
        <v>178</v>
      </c>
    </row>
    <row r="69" ht="15.0" customHeight="1">
      <c r="A69" s="10" t="s">
        <v>179</v>
      </c>
      <c r="B69" s="10" t="s">
        <v>180</v>
      </c>
      <c r="C69" s="10" t="s">
        <v>181</v>
      </c>
      <c r="D69" s="10"/>
      <c r="E69" s="10"/>
      <c r="F69" s="10" t="s">
        <v>182</v>
      </c>
    </row>
    <row r="70" ht="15.0" customHeight="1">
      <c r="A70" s="10" t="s">
        <v>184</v>
      </c>
      <c r="B70" s="10"/>
      <c r="C70" s="10"/>
      <c r="D70" s="10"/>
      <c r="E70" s="10"/>
      <c r="F70" s="10" t="s">
        <v>125</v>
      </c>
    </row>
    <row r="71" ht="15.0" customHeight="1">
      <c r="A71" s="10" t="s">
        <v>185</v>
      </c>
      <c r="B71" s="10"/>
      <c r="C71" s="10"/>
      <c r="D71" s="10"/>
      <c r="E71" s="10"/>
      <c r="F71" s="10"/>
    </row>
    <row r="72" ht="15.75" customHeight="1">
      <c r="A72" s="4"/>
      <c r="B72" s="4"/>
      <c r="C72" s="4"/>
      <c r="D72" s="4"/>
      <c r="E72" s="4"/>
      <c r="F72" s="4"/>
    </row>
    <row r="73" ht="15.75" customHeight="1">
      <c r="A73" s="4"/>
      <c r="B73" s="4"/>
      <c r="C73" s="4"/>
      <c r="D73" s="4"/>
      <c r="E73" s="4"/>
      <c r="F73" s="4"/>
    </row>
    <row r="74" ht="19.5" customHeight="1">
      <c r="A74" s="9" t="s">
        <v>187</v>
      </c>
      <c r="B74" s="2"/>
      <c r="C74" s="2"/>
      <c r="D74" s="2"/>
      <c r="E74" s="2"/>
      <c r="F74" s="3"/>
    </row>
    <row r="75" ht="15.0" customHeight="1">
      <c r="A75" s="6" t="s">
        <v>189</v>
      </c>
      <c r="B75" s="20">
        <v>0.18</v>
      </c>
      <c r="C75" s="4"/>
      <c r="D75" s="4"/>
      <c r="E75" s="4"/>
      <c r="F75" s="5" t="s">
        <v>191</v>
      </c>
    </row>
    <row r="76" ht="15.0" customHeight="1">
      <c r="A76" s="6" t="s">
        <v>192</v>
      </c>
      <c r="B76" s="20">
        <v>0.5</v>
      </c>
      <c r="C76" s="4"/>
      <c r="D76" s="4"/>
      <c r="E76" s="4"/>
      <c r="F76" s="5" t="s">
        <v>193</v>
      </c>
    </row>
    <row r="77" ht="15.0" customHeight="1">
      <c r="A77" s="6" t="s">
        <v>194</v>
      </c>
      <c r="B77" s="20">
        <v>0.4</v>
      </c>
      <c r="C77" s="4"/>
      <c r="D77" s="4"/>
      <c r="E77" s="4"/>
      <c r="F77" s="5" t="s">
        <v>196</v>
      </c>
    </row>
    <row r="78" ht="15.0" customHeight="1">
      <c r="A78" s="6" t="s">
        <v>197</v>
      </c>
      <c r="B78" s="22">
        <v>12.0</v>
      </c>
      <c r="C78" s="4"/>
      <c r="D78" s="4"/>
      <c r="E78" s="4"/>
      <c r="F78" s="5" t="s">
        <v>199</v>
      </c>
    </row>
    <row r="79" ht="15.0" customHeight="1">
      <c r="A79" s="6" t="s">
        <v>200</v>
      </c>
      <c r="B79" s="23">
        <v>1.8</v>
      </c>
      <c r="C79" s="4"/>
      <c r="D79" s="4"/>
      <c r="E79" s="4"/>
      <c r="F79" s="5" t="s">
        <v>202</v>
      </c>
    </row>
    <row r="80" ht="15.0" customHeight="1">
      <c r="A80" s="6" t="s">
        <v>203</v>
      </c>
      <c r="B80" s="19">
        <v>8.0</v>
      </c>
      <c r="C80" s="4"/>
      <c r="D80" s="4"/>
      <c r="E80" s="4"/>
      <c r="F80" s="5" t="s">
        <v>204</v>
      </c>
    </row>
    <row r="81" ht="15.0" customHeight="1">
      <c r="A81" s="6" t="s">
        <v>205</v>
      </c>
      <c r="B81" s="22">
        <v>7.0</v>
      </c>
      <c r="C81" s="4"/>
      <c r="D81" s="4"/>
      <c r="E81" s="4"/>
      <c r="F81" s="5" t="s">
        <v>206</v>
      </c>
    </row>
    <row r="82" ht="15.75" customHeight="1">
      <c r="A82" s="4"/>
      <c r="B82" s="4"/>
      <c r="C82" s="4"/>
      <c r="D82" s="4"/>
      <c r="E82" s="4"/>
      <c r="F82" s="4"/>
    </row>
    <row r="83" ht="15.75" customHeight="1">
      <c r="A83" s="4"/>
      <c r="B83" s="4"/>
      <c r="C83" s="4"/>
      <c r="D83" s="4"/>
      <c r="E83" s="4"/>
      <c r="F83" s="4"/>
    </row>
    <row r="84" ht="19.5" customHeight="1">
      <c r="A84" s="24" t="s">
        <v>208</v>
      </c>
      <c r="B84" s="2"/>
      <c r="C84" s="2"/>
      <c r="D84" s="2"/>
      <c r="E84" s="2"/>
      <c r="F84" s="3"/>
    </row>
    <row r="85" ht="15.0" customHeight="1">
      <c r="A85" s="26" t="s">
        <v>210</v>
      </c>
      <c r="B85" s="4"/>
      <c r="C85" s="4"/>
      <c r="D85" s="4"/>
      <c r="E85" s="4"/>
      <c r="F85" s="4"/>
    </row>
    <row r="86" ht="27.75" customHeight="1">
      <c r="A86" s="8" t="s">
        <v>213</v>
      </c>
      <c r="B86" s="8" t="s">
        <v>214</v>
      </c>
      <c r="C86" s="8" t="s">
        <v>215</v>
      </c>
      <c r="D86" s="8"/>
      <c r="E86" s="8"/>
      <c r="F86" s="8" t="s">
        <v>35</v>
      </c>
    </row>
    <row r="87" ht="15.0" customHeight="1">
      <c r="A87" s="15" t="s">
        <v>116</v>
      </c>
      <c r="B87" s="19">
        <v>0.0</v>
      </c>
      <c r="C87" s="15" t="s">
        <v>218</v>
      </c>
      <c r="D87" s="4"/>
      <c r="E87" s="4"/>
      <c r="F87" s="5" t="s">
        <v>58</v>
      </c>
    </row>
    <row r="88" ht="15.0" customHeight="1">
      <c r="A88" s="15" t="s">
        <v>118</v>
      </c>
      <c r="B88" s="19">
        <v>0.0</v>
      </c>
      <c r="C88" s="15" t="s">
        <v>218</v>
      </c>
      <c r="D88" s="4"/>
      <c r="E88" s="4"/>
      <c r="F88" s="5" t="s">
        <v>58</v>
      </c>
    </row>
    <row r="89" ht="15.0" customHeight="1">
      <c r="A89" s="15" t="s">
        <v>119</v>
      </c>
      <c r="B89" s="19">
        <v>0.0</v>
      </c>
      <c r="C89" s="15" t="s">
        <v>218</v>
      </c>
      <c r="D89" s="4"/>
      <c r="E89" s="4"/>
      <c r="F89" s="5" t="s">
        <v>58</v>
      </c>
    </row>
    <row r="90" ht="15.0" customHeight="1">
      <c r="A90" s="15" t="s">
        <v>121</v>
      </c>
      <c r="B90" s="19">
        <v>0.0</v>
      </c>
      <c r="C90" s="15" t="s">
        <v>218</v>
      </c>
      <c r="D90" s="4"/>
      <c r="E90" s="4"/>
      <c r="F90" s="5" t="s">
        <v>58</v>
      </c>
    </row>
    <row r="91" ht="15.0" customHeight="1">
      <c r="A91" s="15" t="s">
        <v>122</v>
      </c>
      <c r="B91" s="19">
        <v>0.0</v>
      </c>
      <c r="C91" s="15" t="s">
        <v>218</v>
      </c>
      <c r="D91" s="4"/>
      <c r="E91" s="4"/>
      <c r="F91" s="5" t="s">
        <v>58</v>
      </c>
    </row>
    <row r="92" ht="15.0" customHeight="1">
      <c r="A92" s="15" t="s">
        <v>123</v>
      </c>
      <c r="B92" s="19">
        <v>0.0</v>
      </c>
      <c r="C92" s="15" t="s">
        <v>218</v>
      </c>
      <c r="D92" s="4"/>
      <c r="E92" s="4"/>
      <c r="F92" s="5" t="s">
        <v>58</v>
      </c>
    </row>
    <row r="93" ht="15.0" customHeight="1">
      <c r="A93" s="15" t="s">
        <v>126</v>
      </c>
      <c r="B93" s="19">
        <v>0.0</v>
      </c>
      <c r="C93" s="15" t="s">
        <v>218</v>
      </c>
      <c r="D93" s="4"/>
      <c r="E93" s="4"/>
      <c r="F93" s="5" t="s">
        <v>58</v>
      </c>
    </row>
    <row r="94" ht="15.0" customHeight="1">
      <c r="A94" s="15" t="s">
        <v>128</v>
      </c>
      <c r="B94" s="19">
        <v>0.0</v>
      </c>
      <c r="C94" s="15" t="s">
        <v>218</v>
      </c>
      <c r="D94" s="4"/>
      <c r="E94" s="4"/>
      <c r="F94" s="5" t="s">
        <v>58</v>
      </c>
    </row>
    <row r="95" ht="15.0" customHeight="1">
      <c r="A95" s="15" t="s">
        <v>222</v>
      </c>
      <c r="B95" s="19">
        <v>0.0</v>
      </c>
      <c r="C95" s="15" t="s">
        <v>223</v>
      </c>
      <c r="D95" s="4"/>
      <c r="E95" s="4"/>
      <c r="F95" s="5" t="s">
        <v>224</v>
      </c>
    </row>
    <row r="96" ht="15.0" customHeight="1">
      <c r="A96" s="15" t="s">
        <v>225</v>
      </c>
      <c r="B96" s="19">
        <v>0.0</v>
      </c>
      <c r="C96" s="15" t="s">
        <v>223</v>
      </c>
      <c r="D96" s="4"/>
      <c r="E96" s="4"/>
      <c r="F96" s="5" t="s">
        <v>224</v>
      </c>
    </row>
    <row r="97" ht="15.0" customHeight="1">
      <c r="A97" s="15" t="s">
        <v>156</v>
      </c>
      <c r="B97" s="19">
        <v>0.0</v>
      </c>
      <c r="C97" s="15" t="s">
        <v>223</v>
      </c>
      <c r="D97" s="4"/>
      <c r="E97" s="4"/>
      <c r="F97" s="5" t="s">
        <v>58</v>
      </c>
    </row>
    <row r="98" ht="15.0" customHeight="1">
      <c r="A98" s="15" t="s">
        <v>159</v>
      </c>
      <c r="B98" s="19">
        <v>0.0</v>
      </c>
      <c r="C98" s="15" t="s">
        <v>223</v>
      </c>
      <c r="D98" s="4"/>
      <c r="E98" s="4"/>
      <c r="F98" s="5" t="s">
        <v>58</v>
      </c>
    </row>
    <row r="99" ht="15.75" customHeight="1">
      <c r="A99" s="4"/>
      <c r="B99" s="4"/>
      <c r="C99" s="4"/>
      <c r="D99" s="4"/>
      <c r="E99" s="4"/>
      <c r="F99" s="4"/>
    </row>
    <row r="100" ht="15.75" customHeight="1">
      <c r="A100" s="4"/>
      <c r="B100" s="4"/>
      <c r="C100" s="4"/>
      <c r="D100" s="4"/>
      <c r="E100" s="4"/>
      <c r="F100" s="4"/>
    </row>
    <row r="101" ht="15.75" customHeight="1">
      <c r="A101" s="4"/>
      <c r="B101" s="4"/>
      <c r="C101" s="4"/>
      <c r="D101" s="4"/>
      <c r="E101" s="4"/>
      <c r="F101" s="4"/>
    </row>
    <row r="102" ht="15.75" customHeight="1">
      <c r="A102" s="4"/>
      <c r="B102" s="4"/>
      <c r="C102" s="4"/>
      <c r="D102" s="4"/>
      <c r="E102" s="4"/>
      <c r="F102" s="4"/>
    </row>
    <row r="103" ht="15.75" customHeight="1">
      <c r="A103" s="4"/>
      <c r="B103" s="4"/>
      <c r="C103" s="4"/>
      <c r="D103" s="4"/>
      <c r="E103" s="4"/>
      <c r="F103" s="4"/>
    </row>
    <row r="104" ht="15.75" customHeight="1">
      <c r="A104" s="4"/>
      <c r="B104" s="4"/>
      <c r="C104" s="4"/>
      <c r="D104" s="4"/>
      <c r="E104" s="4"/>
      <c r="F104" s="4"/>
    </row>
    <row r="105" ht="15.75" customHeight="1">
      <c r="A105" s="4"/>
      <c r="B105" s="4"/>
      <c r="C105" s="4"/>
      <c r="D105" s="4"/>
      <c r="E105" s="4"/>
      <c r="F105" s="4"/>
    </row>
    <row r="106" ht="15.75" customHeight="1">
      <c r="A106" s="4"/>
      <c r="B106" s="4"/>
      <c r="C106" s="4"/>
      <c r="D106" s="4"/>
      <c r="E106" s="4"/>
      <c r="F106" s="4"/>
    </row>
    <row r="107" ht="15.75" customHeight="1">
      <c r="A107" s="4"/>
      <c r="B107" s="4"/>
      <c r="C107" s="4"/>
      <c r="D107" s="4"/>
      <c r="E107" s="4"/>
      <c r="F107" s="4"/>
    </row>
    <row r="108" ht="15.75" customHeight="1">
      <c r="A108" s="4"/>
      <c r="B108" s="4"/>
      <c r="C108" s="4"/>
      <c r="D108" s="4"/>
      <c r="E108" s="4"/>
      <c r="F108" s="4"/>
    </row>
    <row r="109" ht="15.75" customHeight="1">
      <c r="A109" s="4"/>
      <c r="B109" s="4"/>
      <c r="C109" s="4"/>
      <c r="D109" s="4"/>
      <c r="E109" s="4"/>
      <c r="F109" s="4"/>
    </row>
    <row r="110" ht="15.75" customHeight="1">
      <c r="A110" s="4"/>
      <c r="B110" s="4"/>
      <c r="C110" s="4"/>
      <c r="D110" s="4"/>
      <c r="E110" s="4"/>
      <c r="F110" s="4"/>
    </row>
    <row r="111" ht="15.75" customHeight="1">
      <c r="A111" s="4"/>
      <c r="B111" s="4"/>
      <c r="C111" s="4"/>
      <c r="D111" s="4"/>
      <c r="E111" s="4"/>
      <c r="F111" s="4"/>
    </row>
    <row r="112" ht="15.75" customHeight="1">
      <c r="A112" s="4"/>
      <c r="B112" s="4"/>
      <c r="C112" s="4"/>
      <c r="D112" s="4"/>
      <c r="E112" s="4"/>
      <c r="F112" s="4"/>
    </row>
    <row r="113" ht="15.75" customHeight="1">
      <c r="A113" s="4"/>
      <c r="B113" s="4"/>
      <c r="C113" s="4"/>
      <c r="D113" s="4"/>
      <c r="E113" s="4"/>
      <c r="F113" s="4"/>
    </row>
    <row r="114" ht="15.75" customHeight="1">
      <c r="A114" s="4"/>
      <c r="B114" s="4"/>
      <c r="C114" s="4"/>
      <c r="D114" s="4"/>
      <c r="E114" s="4"/>
      <c r="F114" s="4"/>
    </row>
    <row r="115" ht="15.75" customHeight="1">
      <c r="A115" s="4"/>
      <c r="B115" s="4"/>
      <c r="C115" s="4"/>
      <c r="D115" s="4"/>
      <c r="E115" s="4"/>
      <c r="F115" s="4"/>
    </row>
    <row r="116" ht="15.75" customHeight="1">
      <c r="A116" s="4"/>
      <c r="B116" s="4"/>
      <c r="C116" s="4"/>
      <c r="D116" s="4"/>
      <c r="E116" s="4"/>
      <c r="F116" s="4"/>
    </row>
    <row r="117" ht="15.75" customHeight="1">
      <c r="A117" s="4"/>
      <c r="B117" s="4"/>
      <c r="C117" s="4"/>
      <c r="D117" s="4"/>
      <c r="E117" s="4"/>
      <c r="F117" s="4"/>
    </row>
    <row r="118" ht="15.75" customHeight="1">
      <c r="A118" s="4"/>
      <c r="B118" s="4"/>
      <c r="C118" s="4"/>
      <c r="D118" s="4"/>
      <c r="E118" s="4"/>
      <c r="F118" s="4"/>
    </row>
    <row r="119" ht="15.75" customHeight="1">
      <c r="A119" s="4"/>
      <c r="B119" s="4"/>
      <c r="C119" s="4"/>
      <c r="D119" s="4"/>
      <c r="E119" s="4"/>
      <c r="F119" s="4"/>
    </row>
    <row r="120" ht="15.75" customHeight="1">
      <c r="A120" s="4"/>
      <c r="B120" s="4"/>
      <c r="C120" s="4"/>
      <c r="D120" s="4"/>
      <c r="E120" s="4"/>
      <c r="F120" s="4"/>
    </row>
    <row r="121" ht="15.75" customHeight="1">
      <c r="A121" s="4"/>
      <c r="B121" s="4"/>
      <c r="C121" s="4"/>
      <c r="D121" s="4"/>
      <c r="E121" s="4"/>
      <c r="F121" s="4"/>
    </row>
    <row r="122" ht="15.75" customHeight="1">
      <c r="A122" s="4"/>
      <c r="B122" s="4"/>
      <c r="C122" s="4"/>
      <c r="D122" s="4"/>
      <c r="E122" s="4"/>
      <c r="F122" s="4"/>
    </row>
    <row r="123" ht="15.75" customHeight="1">
      <c r="A123" s="4"/>
      <c r="B123" s="4"/>
      <c r="C123" s="4"/>
      <c r="D123" s="4"/>
      <c r="E123" s="4"/>
      <c r="F123" s="4"/>
    </row>
    <row r="124" ht="15.75" customHeight="1">
      <c r="A124" s="4"/>
      <c r="B124" s="4"/>
      <c r="C124" s="4"/>
      <c r="D124" s="4"/>
      <c r="E124" s="4"/>
      <c r="F124" s="4"/>
    </row>
    <row r="125" ht="15.75" customHeight="1">
      <c r="A125" s="4"/>
      <c r="B125" s="4"/>
      <c r="C125" s="4"/>
      <c r="D125" s="4"/>
      <c r="E125" s="4"/>
      <c r="F125" s="4"/>
    </row>
    <row r="126" ht="15.75" customHeight="1">
      <c r="A126" s="4"/>
      <c r="B126" s="4"/>
      <c r="C126" s="4"/>
      <c r="D126" s="4"/>
      <c r="E126" s="4"/>
      <c r="F126" s="4"/>
    </row>
    <row r="127" ht="15.75" customHeight="1">
      <c r="A127" s="4"/>
      <c r="B127" s="4"/>
      <c r="C127" s="4"/>
      <c r="D127" s="4"/>
      <c r="E127" s="4"/>
      <c r="F127" s="4"/>
    </row>
    <row r="128" ht="15.75" customHeight="1">
      <c r="A128" s="4"/>
      <c r="B128" s="4"/>
      <c r="C128" s="4"/>
      <c r="D128" s="4"/>
      <c r="E128" s="4"/>
      <c r="F128" s="4"/>
    </row>
    <row r="129" ht="15.75" customHeight="1">
      <c r="A129" s="4"/>
      <c r="B129" s="4"/>
      <c r="C129" s="4"/>
      <c r="D129" s="4"/>
      <c r="E129" s="4"/>
      <c r="F129" s="4"/>
    </row>
    <row r="130" ht="15.75" customHeight="1">
      <c r="A130" s="4"/>
      <c r="B130" s="4"/>
      <c r="C130" s="4"/>
      <c r="D130" s="4"/>
      <c r="E130" s="4"/>
      <c r="F130" s="4"/>
    </row>
    <row r="131" ht="15.75" customHeight="1">
      <c r="A131" s="4"/>
      <c r="B131" s="4"/>
      <c r="C131" s="4"/>
      <c r="D131" s="4"/>
      <c r="E131" s="4"/>
      <c r="F131" s="4"/>
    </row>
    <row r="132" ht="15.75" customHeight="1">
      <c r="A132" s="4"/>
      <c r="B132" s="4"/>
      <c r="C132" s="4"/>
      <c r="D132" s="4"/>
      <c r="E132" s="4"/>
      <c r="F132" s="4"/>
    </row>
    <row r="133" ht="15.75" customHeight="1">
      <c r="A133" s="4"/>
      <c r="B133" s="4"/>
      <c r="C133" s="4"/>
      <c r="D133" s="4"/>
      <c r="E133" s="4"/>
      <c r="F133" s="4"/>
    </row>
    <row r="134" ht="15.75" customHeight="1">
      <c r="A134" s="4"/>
      <c r="B134" s="4"/>
      <c r="C134" s="4"/>
      <c r="D134" s="4"/>
      <c r="E134" s="4"/>
      <c r="F134" s="4"/>
    </row>
    <row r="135" ht="15.75" customHeight="1">
      <c r="A135" s="4"/>
      <c r="B135" s="4"/>
      <c r="C135" s="4"/>
      <c r="D135" s="4"/>
      <c r="E135" s="4"/>
      <c r="F135" s="4"/>
    </row>
    <row r="136" ht="15.75" customHeight="1">
      <c r="A136" s="4"/>
      <c r="B136" s="4"/>
      <c r="C136" s="4"/>
      <c r="D136" s="4"/>
      <c r="E136" s="4"/>
      <c r="F136" s="4"/>
    </row>
    <row r="137" ht="15.75" customHeight="1">
      <c r="A137" s="4"/>
      <c r="B137" s="4"/>
      <c r="C137" s="4"/>
      <c r="D137" s="4"/>
      <c r="E137" s="4"/>
      <c r="F137" s="4"/>
    </row>
    <row r="138" ht="15.75" customHeight="1">
      <c r="A138" s="4"/>
      <c r="B138" s="4"/>
      <c r="C138" s="4"/>
      <c r="D138" s="4"/>
      <c r="E138" s="4"/>
      <c r="F138" s="4"/>
    </row>
    <row r="139" ht="15.75" customHeight="1">
      <c r="A139" s="4"/>
      <c r="B139" s="4"/>
      <c r="C139" s="4"/>
      <c r="D139" s="4"/>
      <c r="E139" s="4"/>
      <c r="F139" s="4"/>
    </row>
    <row r="140" ht="15.75" customHeight="1">
      <c r="A140" s="4"/>
      <c r="B140" s="4"/>
      <c r="C140" s="4"/>
      <c r="D140" s="4"/>
      <c r="E140" s="4"/>
      <c r="F140" s="4"/>
    </row>
    <row r="141" ht="15.75" customHeight="1">
      <c r="A141" s="4"/>
      <c r="B141" s="4"/>
      <c r="C141" s="4"/>
      <c r="D141" s="4"/>
      <c r="E141" s="4"/>
      <c r="F141" s="4"/>
    </row>
    <row r="142" ht="15.75" customHeight="1">
      <c r="A142" s="4"/>
      <c r="B142" s="4"/>
      <c r="C142" s="4"/>
      <c r="D142" s="4"/>
      <c r="E142" s="4"/>
      <c r="F142" s="4"/>
    </row>
    <row r="143" ht="15.75" customHeight="1">
      <c r="A143" s="4"/>
      <c r="B143" s="4"/>
      <c r="C143" s="4"/>
      <c r="D143" s="4"/>
      <c r="E143" s="4"/>
      <c r="F143" s="4"/>
    </row>
    <row r="144" ht="15.75" customHeight="1">
      <c r="A144" s="4"/>
      <c r="B144" s="4"/>
      <c r="C144" s="4"/>
      <c r="D144" s="4"/>
      <c r="E144" s="4"/>
      <c r="F144" s="4"/>
    </row>
    <row r="145" ht="15.75" customHeight="1">
      <c r="A145" s="4"/>
      <c r="B145" s="4"/>
      <c r="C145" s="4"/>
      <c r="D145" s="4"/>
      <c r="E145" s="4"/>
      <c r="F145" s="4"/>
    </row>
    <row r="146" ht="15.75" customHeight="1">
      <c r="A146" s="4"/>
      <c r="B146" s="4"/>
      <c r="C146" s="4"/>
      <c r="D146" s="4"/>
      <c r="E146" s="4"/>
      <c r="F146" s="4"/>
    </row>
    <row r="147" ht="15.75" customHeight="1">
      <c r="A147" s="4"/>
      <c r="B147" s="4"/>
      <c r="C147" s="4"/>
      <c r="D147" s="4"/>
      <c r="E147" s="4"/>
      <c r="F147" s="4"/>
    </row>
    <row r="148" ht="15.75" customHeight="1">
      <c r="A148" s="4"/>
      <c r="B148" s="4"/>
      <c r="C148" s="4"/>
      <c r="D148" s="4"/>
      <c r="E148" s="4"/>
      <c r="F148" s="4"/>
    </row>
    <row r="149" ht="15.75" customHeight="1">
      <c r="A149" s="4"/>
      <c r="B149" s="4"/>
      <c r="C149" s="4"/>
      <c r="D149" s="4"/>
      <c r="E149" s="4"/>
      <c r="F149" s="4"/>
    </row>
    <row r="150" ht="15.75" customHeight="1">
      <c r="A150" s="4"/>
      <c r="B150" s="4"/>
      <c r="C150" s="4"/>
      <c r="D150" s="4"/>
      <c r="E150" s="4"/>
      <c r="F150" s="4"/>
    </row>
    <row r="151" ht="15.75" customHeight="1">
      <c r="A151" s="4"/>
      <c r="B151" s="4"/>
      <c r="C151" s="4"/>
      <c r="D151" s="4"/>
      <c r="E151" s="4"/>
      <c r="F151" s="4"/>
    </row>
    <row r="152" ht="15.75" customHeight="1">
      <c r="A152" s="4"/>
      <c r="B152" s="4"/>
      <c r="C152" s="4"/>
      <c r="D152" s="4"/>
      <c r="E152" s="4"/>
      <c r="F152" s="4"/>
    </row>
    <row r="153" ht="15.75" customHeight="1">
      <c r="A153" s="4"/>
      <c r="B153" s="4"/>
      <c r="C153" s="4"/>
      <c r="D153" s="4"/>
      <c r="E153" s="4"/>
      <c r="F153" s="4"/>
    </row>
    <row r="154" ht="15.75" customHeight="1">
      <c r="A154" s="4"/>
      <c r="B154" s="4"/>
      <c r="C154" s="4"/>
      <c r="D154" s="4"/>
      <c r="E154" s="4"/>
      <c r="F154" s="4"/>
    </row>
    <row r="155" ht="15.75" customHeight="1">
      <c r="A155" s="4"/>
      <c r="B155" s="4"/>
      <c r="C155" s="4"/>
      <c r="D155" s="4"/>
      <c r="E155" s="4"/>
      <c r="F155" s="4"/>
    </row>
    <row r="156" ht="15.75" customHeight="1">
      <c r="A156" s="4"/>
      <c r="B156" s="4"/>
      <c r="C156" s="4"/>
      <c r="D156" s="4"/>
      <c r="E156" s="4"/>
      <c r="F156" s="4"/>
    </row>
    <row r="157" ht="15.75" customHeight="1">
      <c r="A157" s="4"/>
      <c r="B157" s="4"/>
      <c r="C157" s="4"/>
      <c r="D157" s="4"/>
      <c r="E157" s="4"/>
      <c r="F157" s="4"/>
    </row>
    <row r="158" ht="15.75" customHeight="1">
      <c r="A158" s="4"/>
      <c r="B158" s="4"/>
      <c r="C158" s="4"/>
      <c r="D158" s="4"/>
      <c r="E158" s="4"/>
      <c r="F158" s="4"/>
    </row>
    <row r="159" ht="15.75" customHeight="1">
      <c r="A159" s="4"/>
      <c r="B159" s="4"/>
      <c r="C159" s="4"/>
      <c r="D159" s="4"/>
      <c r="E159" s="4"/>
      <c r="F159" s="4"/>
    </row>
    <row r="160" ht="15.75" customHeight="1">
      <c r="A160" s="4"/>
      <c r="B160" s="4"/>
      <c r="C160" s="4"/>
      <c r="D160" s="4"/>
      <c r="E160" s="4"/>
      <c r="F160" s="4"/>
    </row>
    <row r="161" ht="15.75" customHeight="1">
      <c r="A161" s="4"/>
      <c r="B161" s="4"/>
      <c r="C161" s="4"/>
      <c r="D161" s="4"/>
      <c r="E161" s="4"/>
      <c r="F161" s="4"/>
    </row>
    <row r="162" ht="15.75" customHeight="1">
      <c r="A162" s="4"/>
      <c r="B162" s="4"/>
      <c r="C162" s="4"/>
      <c r="D162" s="4"/>
      <c r="E162" s="4"/>
      <c r="F162" s="4"/>
    </row>
    <row r="163" ht="15.75" customHeight="1">
      <c r="A163" s="4"/>
      <c r="B163" s="4"/>
      <c r="C163" s="4"/>
      <c r="D163" s="4"/>
      <c r="E163" s="4"/>
      <c r="F163" s="4"/>
    </row>
    <row r="164" ht="15.75" customHeight="1">
      <c r="A164" s="4"/>
      <c r="B164" s="4"/>
      <c r="C164" s="4"/>
      <c r="D164" s="4"/>
      <c r="E164" s="4"/>
      <c r="F164" s="4"/>
    </row>
    <row r="165" ht="15.75" customHeight="1">
      <c r="A165" s="4"/>
      <c r="B165" s="4"/>
      <c r="C165" s="4"/>
      <c r="D165" s="4"/>
      <c r="E165" s="4"/>
      <c r="F165" s="4"/>
    </row>
    <row r="166" ht="15.75" customHeight="1">
      <c r="A166" s="4"/>
      <c r="B166" s="4"/>
      <c r="C166" s="4"/>
      <c r="D166" s="4"/>
      <c r="E166" s="4"/>
      <c r="F166" s="4"/>
    </row>
    <row r="167" ht="15.75" customHeight="1">
      <c r="A167" s="4"/>
      <c r="B167" s="4"/>
      <c r="C167" s="4"/>
      <c r="D167" s="4"/>
      <c r="E167" s="4"/>
      <c r="F167" s="4"/>
    </row>
    <row r="168" ht="15.75" customHeight="1">
      <c r="A168" s="4"/>
      <c r="B168" s="4"/>
      <c r="C168" s="4"/>
      <c r="D168" s="4"/>
      <c r="E168" s="4"/>
      <c r="F168" s="4"/>
    </row>
    <row r="169" ht="15.75" customHeight="1">
      <c r="A169" s="4"/>
      <c r="B169" s="4"/>
      <c r="C169" s="4"/>
      <c r="D169" s="4"/>
      <c r="E169" s="4"/>
      <c r="F169" s="4"/>
    </row>
    <row r="170" ht="15.75" customHeight="1">
      <c r="A170" s="4"/>
      <c r="B170" s="4"/>
      <c r="C170" s="4"/>
      <c r="D170" s="4"/>
      <c r="E170" s="4"/>
      <c r="F170" s="4"/>
    </row>
    <row r="171" ht="15.75" customHeight="1">
      <c r="A171" s="4"/>
      <c r="B171" s="4"/>
      <c r="C171" s="4"/>
      <c r="D171" s="4"/>
      <c r="E171" s="4"/>
      <c r="F171" s="4"/>
    </row>
    <row r="172" ht="15.75" customHeight="1">
      <c r="A172" s="4"/>
      <c r="B172" s="4"/>
      <c r="C172" s="4"/>
      <c r="D172" s="4"/>
      <c r="E172" s="4"/>
      <c r="F172" s="4"/>
    </row>
    <row r="173" ht="15.75" customHeight="1">
      <c r="A173" s="4"/>
      <c r="B173" s="4"/>
      <c r="C173" s="4"/>
      <c r="D173" s="4"/>
      <c r="E173" s="4"/>
      <c r="F173" s="4"/>
    </row>
    <row r="174" ht="15.75" customHeight="1">
      <c r="A174" s="4"/>
      <c r="B174" s="4"/>
      <c r="C174" s="4"/>
      <c r="D174" s="4"/>
      <c r="E174" s="4"/>
      <c r="F174" s="4"/>
    </row>
    <row r="175" ht="15.75" customHeight="1">
      <c r="A175" s="4"/>
      <c r="B175" s="4"/>
      <c r="C175" s="4"/>
      <c r="D175" s="4"/>
      <c r="E175" s="4"/>
      <c r="F175" s="4"/>
    </row>
    <row r="176" ht="15.75" customHeight="1">
      <c r="A176" s="4"/>
      <c r="B176" s="4"/>
      <c r="C176" s="4"/>
      <c r="D176" s="4"/>
      <c r="E176" s="4"/>
      <c r="F176" s="4"/>
    </row>
    <row r="177" ht="15.75" customHeight="1">
      <c r="A177" s="4"/>
      <c r="B177" s="4"/>
      <c r="C177" s="4"/>
      <c r="D177" s="4"/>
      <c r="E177" s="4"/>
      <c r="F177" s="4"/>
    </row>
    <row r="178" ht="15.75" customHeight="1">
      <c r="A178" s="4"/>
      <c r="B178" s="4"/>
      <c r="C178" s="4"/>
      <c r="D178" s="4"/>
      <c r="E178" s="4"/>
      <c r="F178" s="4"/>
    </row>
    <row r="179" ht="15.75" customHeight="1">
      <c r="A179" s="4"/>
      <c r="B179" s="4"/>
      <c r="C179" s="4"/>
      <c r="D179" s="4"/>
      <c r="E179" s="4"/>
      <c r="F179" s="4"/>
    </row>
    <row r="180" ht="15.75" customHeight="1">
      <c r="A180" s="4"/>
      <c r="B180" s="4"/>
      <c r="C180" s="4"/>
      <c r="D180" s="4"/>
      <c r="E180" s="4"/>
      <c r="F180" s="4"/>
    </row>
    <row r="181" ht="15.75" customHeight="1">
      <c r="A181" s="4"/>
      <c r="B181" s="4"/>
      <c r="C181" s="4"/>
      <c r="D181" s="4"/>
      <c r="E181" s="4"/>
      <c r="F181" s="4"/>
    </row>
    <row r="182" ht="15.75" customHeight="1">
      <c r="A182" s="4"/>
      <c r="B182" s="4"/>
      <c r="C182" s="4"/>
      <c r="D182" s="4"/>
      <c r="E182" s="4"/>
      <c r="F182" s="4"/>
    </row>
    <row r="183" ht="15.75" customHeight="1">
      <c r="A183" s="4"/>
      <c r="B183" s="4"/>
      <c r="C183" s="4"/>
      <c r="D183" s="4"/>
      <c r="E183" s="4"/>
      <c r="F183" s="4"/>
    </row>
    <row r="184" ht="15.75" customHeight="1">
      <c r="A184" s="4"/>
      <c r="B184" s="4"/>
      <c r="C184" s="4"/>
      <c r="D184" s="4"/>
      <c r="E184" s="4"/>
      <c r="F184" s="4"/>
    </row>
    <row r="185" ht="15.75" customHeight="1">
      <c r="A185" s="4"/>
      <c r="B185" s="4"/>
      <c r="C185" s="4"/>
      <c r="D185" s="4"/>
      <c r="E185" s="4"/>
      <c r="F185" s="4"/>
    </row>
    <row r="186" ht="15.75" customHeight="1">
      <c r="A186" s="4"/>
      <c r="B186" s="4"/>
      <c r="C186" s="4"/>
      <c r="D186" s="4"/>
      <c r="E186" s="4"/>
      <c r="F186" s="4"/>
    </row>
    <row r="187" ht="15.75" customHeight="1">
      <c r="A187" s="4"/>
      <c r="B187" s="4"/>
      <c r="C187" s="4"/>
      <c r="D187" s="4"/>
      <c r="E187" s="4"/>
      <c r="F187" s="4"/>
    </row>
    <row r="188" ht="15.75" customHeight="1">
      <c r="A188" s="4"/>
      <c r="B188" s="4"/>
      <c r="C188" s="4"/>
      <c r="D188" s="4"/>
      <c r="E188" s="4"/>
      <c r="F188" s="4"/>
    </row>
    <row r="189" ht="15.75" customHeight="1">
      <c r="A189" s="4"/>
      <c r="B189" s="4"/>
      <c r="C189" s="4"/>
      <c r="D189" s="4"/>
      <c r="E189" s="4"/>
      <c r="F189" s="4"/>
    </row>
    <row r="190" ht="15.75" customHeight="1">
      <c r="A190" s="4"/>
      <c r="B190" s="4"/>
      <c r="C190" s="4"/>
      <c r="D190" s="4"/>
      <c r="E190" s="4"/>
      <c r="F190" s="4"/>
    </row>
    <row r="191" ht="15.75" customHeight="1">
      <c r="A191" s="4"/>
      <c r="B191" s="4"/>
      <c r="C191" s="4"/>
      <c r="D191" s="4"/>
      <c r="E191" s="4"/>
      <c r="F191" s="4"/>
    </row>
    <row r="192" ht="15.75" customHeight="1">
      <c r="A192" s="4"/>
      <c r="B192" s="4"/>
      <c r="C192" s="4"/>
      <c r="D192" s="4"/>
      <c r="E192" s="4"/>
      <c r="F192" s="4"/>
    </row>
    <row r="193" ht="15.75" customHeight="1">
      <c r="A193" s="4"/>
      <c r="B193" s="4"/>
      <c r="C193" s="4"/>
      <c r="D193" s="4"/>
      <c r="E193" s="4"/>
      <c r="F193" s="4"/>
    </row>
    <row r="194" ht="15.75" customHeight="1">
      <c r="A194" s="4"/>
      <c r="B194" s="4"/>
      <c r="C194" s="4"/>
      <c r="D194" s="4"/>
      <c r="E194" s="4"/>
      <c r="F194" s="4"/>
    </row>
    <row r="195" ht="15.75" customHeight="1">
      <c r="A195" s="4"/>
      <c r="B195" s="4"/>
      <c r="C195" s="4"/>
      <c r="D195" s="4"/>
      <c r="E195" s="4"/>
      <c r="F195" s="4"/>
    </row>
    <row r="196" ht="15.75" customHeight="1">
      <c r="A196" s="4"/>
      <c r="B196" s="4"/>
      <c r="C196" s="4"/>
      <c r="D196" s="4"/>
      <c r="E196" s="4"/>
      <c r="F196" s="4"/>
    </row>
    <row r="197" ht="15.75" customHeight="1">
      <c r="A197" s="4"/>
      <c r="B197" s="4"/>
      <c r="C197" s="4"/>
      <c r="D197" s="4"/>
      <c r="E197" s="4"/>
      <c r="F197" s="4"/>
    </row>
    <row r="198" ht="15.75" customHeight="1">
      <c r="A198" s="4"/>
      <c r="B198" s="4"/>
      <c r="C198" s="4"/>
      <c r="D198" s="4"/>
      <c r="E198" s="4"/>
      <c r="F198" s="4"/>
    </row>
    <row r="199" ht="15.75" customHeight="1">
      <c r="A199" s="4"/>
      <c r="B199" s="4"/>
      <c r="C199" s="4"/>
      <c r="D199" s="4"/>
      <c r="E199" s="4"/>
      <c r="F199" s="4"/>
    </row>
    <row r="200" ht="15.75" customHeight="1">
      <c r="A200" s="4"/>
      <c r="B200" s="4"/>
      <c r="C200" s="4"/>
      <c r="D200" s="4"/>
      <c r="E200" s="4"/>
      <c r="F200" s="4"/>
    </row>
    <row r="201" ht="15.75" customHeight="1">
      <c r="A201" s="4"/>
      <c r="B201" s="4"/>
      <c r="C201" s="4"/>
      <c r="D201" s="4"/>
      <c r="E201" s="4"/>
      <c r="F201" s="4"/>
    </row>
    <row r="202" ht="15.75" customHeight="1">
      <c r="A202" s="4"/>
      <c r="B202" s="4"/>
      <c r="C202" s="4"/>
      <c r="D202" s="4"/>
      <c r="E202" s="4"/>
      <c r="F202" s="4"/>
    </row>
    <row r="203" ht="15.75" customHeight="1">
      <c r="A203" s="4"/>
      <c r="B203" s="4"/>
      <c r="C203" s="4"/>
      <c r="D203" s="4"/>
      <c r="E203" s="4"/>
      <c r="F203" s="4"/>
    </row>
    <row r="204" ht="15.75" customHeight="1">
      <c r="A204" s="4"/>
      <c r="B204" s="4"/>
      <c r="C204" s="4"/>
      <c r="D204" s="4"/>
      <c r="E204" s="4"/>
      <c r="F204" s="4"/>
    </row>
    <row r="205" ht="15.75" customHeight="1">
      <c r="A205" s="4"/>
      <c r="B205" s="4"/>
      <c r="C205" s="4"/>
      <c r="D205" s="4"/>
      <c r="E205" s="4"/>
      <c r="F205" s="4"/>
    </row>
    <row r="206" ht="15.75" customHeight="1">
      <c r="A206" s="4"/>
      <c r="B206" s="4"/>
      <c r="C206" s="4"/>
      <c r="D206" s="4"/>
      <c r="E206" s="4"/>
      <c r="F206" s="4"/>
    </row>
    <row r="207" ht="15.75" customHeight="1">
      <c r="A207" s="4"/>
      <c r="B207" s="4"/>
      <c r="C207" s="4"/>
      <c r="D207" s="4"/>
      <c r="E207" s="4"/>
      <c r="F207" s="4"/>
    </row>
    <row r="208" ht="15.75" customHeight="1">
      <c r="A208" s="4"/>
      <c r="B208" s="4"/>
      <c r="C208" s="4"/>
      <c r="D208" s="4"/>
      <c r="E208" s="4"/>
      <c r="F208" s="4"/>
    </row>
    <row r="209" ht="15.75" customHeight="1">
      <c r="A209" s="4"/>
      <c r="B209" s="4"/>
      <c r="C209" s="4"/>
      <c r="D209" s="4"/>
      <c r="E209" s="4"/>
      <c r="F209" s="4"/>
    </row>
    <row r="210" ht="15.75" customHeight="1">
      <c r="A210" s="4"/>
      <c r="B210" s="4"/>
      <c r="C210" s="4"/>
      <c r="D210" s="4"/>
      <c r="E210" s="4"/>
      <c r="F210" s="4"/>
    </row>
    <row r="211" ht="15.75" customHeight="1">
      <c r="A211" s="4"/>
      <c r="B211" s="4"/>
      <c r="C211" s="4"/>
      <c r="D211" s="4"/>
      <c r="E211" s="4"/>
      <c r="F211" s="4"/>
    </row>
    <row r="212" ht="15.75" customHeight="1">
      <c r="A212" s="4"/>
      <c r="B212" s="4"/>
      <c r="C212" s="4"/>
      <c r="D212" s="4"/>
      <c r="E212" s="4"/>
      <c r="F212" s="4"/>
    </row>
    <row r="213" ht="15.75" customHeight="1">
      <c r="A213" s="4"/>
      <c r="B213" s="4"/>
      <c r="C213" s="4"/>
      <c r="D213" s="4"/>
      <c r="E213" s="4"/>
      <c r="F213" s="4"/>
    </row>
    <row r="214" ht="15.75" customHeight="1">
      <c r="A214" s="4"/>
      <c r="B214" s="4"/>
      <c r="C214" s="4"/>
      <c r="D214" s="4"/>
      <c r="E214" s="4"/>
      <c r="F214" s="4"/>
    </row>
    <row r="215" ht="15.75" customHeight="1">
      <c r="A215" s="4"/>
      <c r="B215" s="4"/>
      <c r="C215" s="4"/>
      <c r="D215" s="4"/>
      <c r="E215" s="4"/>
      <c r="F215" s="4"/>
    </row>
    <row r="216" ht="15.75" customHeight="1">
      <c r="A216" s="4"/>
      <c r="B216" s="4"/>
      <c r="C216" s="4"/>
      <c r="D216" s="4"/>
      <c r="E216" s="4"/>
      <c r="F216" s="4"/>
    </row>
    <row r="217" ht="15.75" customHeight="1">
      <c r="A217" s="4"/>
      <c r="B217" s="4"/>
      <c r="C217" s="4"/>
      <c r="D217" s="4"/>
      <c r="E217" s="4"/>
      <c r="F217" s="4"/>
    </row>
    <row r="218" ht="15.75" customHeight="1">
      <c r="A218" s="4"/>
      <c r="B218" s="4"/>
      <c r="C218" s="4"/>
      <c r="D218" s="4"/>
      <c r="E218" s="4"/>
      <c r="F218" s="4"/>
    </row>
    <row r="219" ht="15.75" customHeight="1">
      <c r="A219" s="4"/>
      <c r="B219" s="4"/>
      <c r="C219" s="4"/>
      <c r="D219" s="4"/>
      <c r="E219" s="4"/>
      <c r="F219" s="4"/>
    </row>
    <row r="220" ht="15.75" customHeight="1">
      <c r="A220" s="4"/>
      <c r="B220" s="4"/>
      <c r="C220" s="4"/>
      <c r="D220" s="4"/>
      <c r="E220" s="4"/>
      <c r="F220" s="4"/>
    </row>
    <row r="221" ht="15.75" customHeight="1">
      <c r="A221" s="4"/>
      <c r="B221" s="4"/>
      <c r="C221" s="4"/>
      <c r="D221" s="4"/>
      <c r="E221" s="4"/>
      <c r="F221" s="4"/>
    </row>
    <row r="222" ht="15.75" customHeight="1">
      <c r="A222" s="4"/>
      <c r="B222" s="4"/>
      <c r="C222" s="4"/>
      <c r="D222" s="4"/>
      <c r="E222" s="4"/>
      <c r="F222" s="4"/>
    </row>
    <row r="223" ht="15.75" customHeight="1">
      <c r="A223" s="4"/>
      <c r="B223" s="4"/>
      <c r="C223" s="4"/>
      <c r="D223" s="4"/>
      <c r="E223" s="4"/>
      <c r="F223" s="4"/>
    </row>
    <row r="224" ht="15.75" customHeight="1">
      <c r="A224" s="4"/>
      <c r="B224" s="4"/>
      <c r="C224" s="4"/>
      <c r="D224" s="4"/>
      <c r="E224" s="4"/>
      <c r="F224" s="4"/>
    </row>
    <row r="225" ht="15.75" customHeight="1">
      <c r="A225" s="4"/>
      <c r="B225" s="4"/>
      <c r="C225" s="4"/>
      <c r="D225" s="4"/>
      <c r="E225" s="4"/>
      <c r="F225" s="4"/>
    </row>
    <row r="226" ht="15.75" customHeight="1">
      <c r="A226" s="4"/>
      <c r="B226" s="4"/>
      <c r="C226" s="4"/>
      <c r="D226" s="4"/>
      <c r="E226" s="4"/>
      <c r="F226" s="4"/>
    </row>
    <row r="227" ht="15.75" customHeight="1">
      <c r="A227" s="4"/>
      <c r="B227" s="4"/>
      <c r="C227" s="4"/>
      <c r="D227" s="4"/>
      <c r="E227" s="4"/>
      <c r="F227" s="4"/>
    </row>
    <row r="228" ht="15.75" customHeight="1">
      <c r="A228" s="4"/>
      <c r="B228" s="4"/>
      <c r="C228" s="4"/>
      <c r="D228" s="4"/>
      <c r="E228" s="4"/>
      <c r="F228" s="4"/>
    </row>
    <row r="229" ht="15.75" customHeight="1">
      <c r="A229" s="4"/>
      <c r="B229" s="4"/>
      <c r="C229" s="4"/>
      <c r="D229" s="4"/>
      <c r="E229" s="4"/>
      <c r="F229" s="4"/>
    </row>
    <row r="230" ht="15.75" customHeight="1">
      <c r="A230" s="4"/>
      <c r="B230" s="4"/>
      <c r="C230" s="4"/>
      <c r="D230" s="4"/>
      <c r="E230" s="4"/>
      <c r="F230" s="4"/>
    </row>
    <row r="231" ht="15.75" customHeight="1">
      <c r="A231" s="4"/>
      <c r="B231" s="4"/>
      <c r="C231" s="4"/>
      <c r="D231" s="4"/>
      <c r="E231" s="4"/>
      <c r="F231" s="4"/>
    </row>
    <row r="232" ht="15.75" customHeight="1">
      <c r="A232" s="4"/>
      <c r="B232" s="4"/>
      <c r="C232" s="4"/>
      <c r="D232" s="4"/>
      <c r="E232" s="4"/>
      <c r="F232" s="4"/>
    </row>
    <row r="233" ht="15.75" customHeight="1">
      <c r="A233" s="4"/>
      <c r="B233" s="4"/>
      <c r="C233" s="4"/>
      <c r="D233" s="4"/>
      <c r="E233" s="4"/>
      <c r="F233" s="4"/>
    </row>
    <row r="234" ht="15.75" customHeight="1">
      <c r="A234" s="4"/>
      <c r="B234" s="4"/>
      <c r="C234" s="4"/>
      <c r="D234" s="4"/>
      <c r="E234" s="4"/>
      <c r="F234" s="4"/>
    </row>
    <row r="235" ht="15.75" customHeight="1">
      <c r="A235" s="4"/>
      <c r="B235" s="4"/>
      <c r="C235" s="4"/>
      <c r="D235" s="4"/>
      <c r="E235" s="4"/>
      <c r="F235" s="4"/>
    </row>
    <row r="236" ht="15.75" customHeight="1">
      <c r="A236" s="4"/>
      <c r="B236" s="4"/>
      <c r="C236" s="4"/>
      <c r="D236" s="4"/>
      <c r="E236" s="4"/>
      <c r="F236" s="4"/>
    </row>
    <row r="237" ht="15.75" customHeight="1">
      <c r="A237" s="4"/>
      <c r="B237" s="4"/>
      <c r="C237" s="4"/>
      <c r="D237" s="4"/>
      <c r="E237" s="4"/>
      <c r="F237" s="4"/>
    </row>
    <row r="238" ht="15.75" customHeight="1">
      <c r="A238" s="4"/>
      <c r="B238" s="4"/>
      <c r="C238" s="4"/>
      <c r="D238" s="4"/>
      <c r="E238" s="4"/>
      <c r="F238" s="4"/>
    </row>
    <row r="239" ht="15.75" customHeight="1">
      <c r="A239" s="4"/>
      <c r="B239" s="4"/>
      <c r="C239" s="4"/>
      <c r="D239" s="4"/>
      <c r="E239" s="4"/>
      <c r="F239" s="4"/>
    </row>
    <row r="240" ht="15.75" customHeight="1">
      <c r="A240" s="4"/>
      <c r="B240" s="4"/>
      <c r="C240" s="4"/>
      <c r="D240" s="4"/>
      <c r="E240" s="4"/>
      <c r="F240" s="4"/>
    </row>
    <row r="241" ht="15.75" customHeight="1">
      <c r="A241" s="4"/>
      <c r="B241" s="4"/>
      <c r="C241" s="4"/>
      <c r="D241" s="4"/>
      <c r="E241" s="4"/>
      <c r="F241" s="4"/>
    </row>
    <row r="242" ht="15.75" customHeight="1">
      <c r="A242" s="4"/>
      <c r="B242" s="4"/>
      <c r="C242" s="4"/>
      <c r="D242" s="4"/>
      <c r="E242" s="4"/>
      <c r="F242" s="4"/>
    </row>
    <row r="243" ht="15.75" customHeight="1">
      <c r="A243" s="4"/>
      <c r="B243" s="4"/>
      <c r="C243" s="4"/>
      <c r="D243" s="4"/>
      <c r="E243" s="4"/>
      <c r="F243" s="4"/>
    </row>
    <row r="244" ht="15.75" customHeight="1">
      <c r="A244" s="4"/>
      <c r="B244" s="4"/>
      <c r="C244" s="4"/>
      <c r="D244" s="4"/>
      <c r="E244" s="4"/>
      <c r="F244" s="4"/>
    </row>
    <row r="245" ht="15.75" customHeight="1">
      <c r="A245" s="4"/>
      <c r="B245" s="4"/>
      <c r="C245" s="4"/>
      <c r="D245" s="4"/>
      <c r="E245" s="4"/>
      <c r="F245" s="4"/>
    </row>
    <row r="246" ht="15.75" customHeight="1">
      <c r="A246" s="4"/>
      <c r="B246" s="4"/>
      <c r="C246" s="4"/>
      <c r="D246" s="4"/>
      <c r="E246" s="4"/>
      <c r="F246" s="4"/>
    </row>
    <row r="247" ht="15.75" customHeight="1">
      <c r="A247" s="4"/>
      <c r="B247" s="4"/>
      <c r="C247" s="4"/>
      <c r="D247" s="4"/>
      <c r="E247" s="4"/>
      <c r="F247" s="4"/>
    </row>
    <row r="248" ht="15.75" customHeight="1">
      <c r="A248" s="4"/>
      <c r="B248" s="4"/>
      <c r="C248" s="4"/>
      <c r="D248" s="4"/>
      <c r="E248" s="4"/>
      <c r="F248" s="4"/>
    </row>
    <row r="249" ht="15.75" customHeight="1">
      <c r="A249" s="4"/>
      <c r="B249" s="4"/>
      <c r="C249" s="4"/>
      <c r="D249" s="4"/>
      <c r="E249" s="4"/>
      <c r="F249" s="4"/>
    </row>
    <row r="250" ht="15.75" customHeight="1">
      <c r="A250" s="4"/>
      <c r="B250" s="4"/>
      <c r="C250" s="4"/>
      <c r="D250" s="4"/>
      <c r="E250" s="4"/>
      <c r="F250" s="4"/>
    </row>
    <row r="251" ht="15.75" customHeight="1">
      <c r="A251" s="4"/>
      <c r="B251" s="4"/>
      <c r="C251" s="4"/>
      <c r="D251" s="4"/>
      <c r="E251" s="4"/>
      <c r="F251" s="4"/>
    </row>
    <row r="252" ht="15.75" customHeight="1">
      <c r="A252" s="4"/>
      <c r="B252" s="4"/>
      <c r="C252" s="4"/>
      <c r="D252" s="4"/>
      <c r="E252" s="4"/>
      <c r="F252" s="4"/>
    </row>
    <row r="253" ht="15.75" customHeight="1">
      <c r="A253" s="4"/>
      <c r="B253" s="4"/>
      <c r="C253" s="4"/>
      <c r="D253" s="4"/>
      <c r="E253" s="4"/>
      <c r="F253" s="4"/>
    </row>
    <row r="254" ht="15.75" customHeight="1">
      <c r="A254" s="4"/>
      <c r="B254" s="4"/>
      <c r="C254" s="4"/>
      <c r="D254" s="4"/>
      <c r="E254" s="4"/>
      <c r="F254" s="4"/>
    </row>
    <row r="255" ht="15.75" customHeight="1">
      <c r="A255" s="4"/>
      <c r="B255" s="4"/>
      <c r="C255" s="4"/>
      <c r="D255" s="4"/>
      <c r="E255" s="4"/>
      <c r="F255" s="4"/>
    </row>
    <row r="256" ht="15.75" customHeight="1">
      <c r="A256" s="4"/>
      <c r="B256" s="4"/>
      <c r="C256" s="4"/>
      <c r="D256" s="4"/>
      <c r="E256" s="4"/>
      <c r="F256" s="4"/>
    </row>
    <row r="257" ht="15.75" customHeight="1">
      <c r="A257" s="4"/>
      <c r="B257" s="4"/>
      <c r="C257" s="4"/>
      <c r="D257" s="4"/>
      <c r="E257" s="4"/>
      <c r="F257" s="4"/>
    </row>
    <row r="258" ht="15.75" customHeight="1">
      <c r="A258" s="4"/>
      <c r="B258" s="4"/>
      <c r="C258" s="4"/>
      <c r="D258" s="4"/>
      <c r="E258" s="4"/>
      <c r="F258" s="4"/>
    </row>
    <row r="259" ht="15.75" customHeight="1">
      <c r="A259" s="4"/>
      <c r="B259" s="4"/>
      <c r="C259" s="4"/>
      <c r="D259" s="4"/>
      <c r="E259" s="4"/>
      <c r="F259" s="4"/>
    </row>
    <row r="260" ht="15.75" customHeight="1">
      <c r="A260" s="4"/>
      <c r="B260" s="4"/>
      <c r="C260" s="4"/>
      <c r="D260" s="4"/>
      <c r="E260" s="4"/>
      <c r="F260" s="4"/>
    </row>
    <row r="261" ht="15.75" customHeight="1">
      <c r="A261" s="4"/>
      <c r="B261" s="4"/>
      <c r="C261" s="4"/>
      <c r="D261" s="4"/>
      <c r="E261" s="4"/>
      <c r="F261" s="4"/>
    </row>
    <row r="262" ht="15.75" customHeight="1">
      <c r="A262" s="4"/>
      <c r="B262" s="4"/>
      <c r="C262" s="4"/>
      <c r="D262" s="4"/>
      <c r="E262" s="4"/>
      <c r="F262" s="4"/>
    </row>
    <row r="263" ht="15.75" customHeight="1">
      <c r="A263" s="4"/>
      <c r="B263" s="4"/>
      <c r="C263" s="4"/>
      <c r="D263" s="4"/>
      <c r="E263" s="4"/>
      <c r="F263" s="4"/>
    </row>
    <row r="264" ht="15.75" customHeight="1">
      <c r="A264" s="4"/>
      <c r="B264" s="4"/>
      <c r="C264" s="4"/>
      <c r="D264" s="4"/>
      <c r="E264" s="4"/>
      <c r="F264" s="4"/>
    </row>
    <row r="265" ht="15.75" customHeight="1">
      <c r="A265" s="4"/>
      <c r="B265" s="4"/>
      <c r="C265" s="4"/>
      <c r="D265" s="4"/>
      <c r="E265" s="4"/>
      <c r="F265" s="4"/>
    </row>
    <row r="266" ht="15.75" customHeight="1">
      <c r="A266" s="4"/>
      <c r="B266" s="4"/>
      <c r="C266" s="4"/>
      <c r="D266" s="4"/>
      <c r="E266" s="4"/>
      <c r="F266" s="4"/>
    </row>
    <row r="267" ht="15.75" customHeight="1">
      <c r="A267" s="4"/>
      <c r="B267" s="4"/>
      <c r="C267" s="4"/>
      <c r="D267" s="4"/>
      <c r="E267" s="4"/>
      <c r="F267" s="4"/>
    </row>
    <row r="268" ht="15.75" customHeight="1">
      <c r="A268" s="4"/>
      <c r="B268" s="4"/>
      <c r="C268" s="4"/>
      <c r="D268" s="4"/>
      <c r="E268" s="4"/>
      <c r="F268" s="4"/>
    </row>
    <row r="269" ht="15.75" customHeight="1">
      <c r="A269" s="4"/>
      <c r="B269" s="4"/>
      <c r="C269" s="4"/>
      <c r="D269" s="4"/>
      <c r="E269" s="4"/>
      <c r="F269" s="4"/>
    </row>
    <row r="270" ht="15.75" customHeight="1">
      <c r="A270" s="4"/>
      <c r="B270" s="4"/>
      <c r="C270" s="4"/>
      <c r="D270" s="4"/>
      <c r="E270" s="4"/>
      <c r="F270" s="4"/>
    </row>
    <row r="271" ht="15.75" customHeight="1">
      <c r="A271" s="4"/>
      <c r="B271" s="4"/>
      <c r="C271" s="4"/>
      <c r="D271" s="4"/>
      <c r="E271" s="4"/>
      <c r="F271" s="4"/>
    </row>
    <row r="272" ht="15.75" customHeight="1">
      <c r="A272" s="4"/>
      <c r="B272" s="4"/>
      <c r="C272" s="4"/>
      <c r="D272" s="4"/>
      <c r="E272" s="4"/>
      <c r="F272" s="4"/>
    </row>
    <row r="273" ht="15.75" customHeight="1">
      <c r="A273" s="4"/>
      <c r="B273" s="4"/>
      <c r="C273" s="4"/>
      <c r="D273" s="4"/>
      <c r="E273" s="4"/>
      <c r="F273" s="4"/>
    </row>
    <row r="274" ht="15.75" customHeight="1">
      <c r="A274" s="4"/>
      <c r="B274" s="4"/>
      <c r="C274" s="4"/>
      <c r="D274" s="4"/>
      <c r="E274" s="4"/>
      <c r="F274" s="4"/>
    </row>
    <row r="275" ht="15.75" customHeight="1">
      <c r="A275" s="4"/>
      <c r="B275" s="4"/>
      <c r="C275" s="4"/>
      <c r="D275" s="4"/>
      <c r="E275" s="4"/>
      <c r="F275" s="4"/>
    </row>
    <row r="276" ht="15.75" customHeight="1">
      <c r="A276" s="4"/>
      <c r="B276" s="4"/>
      <c r="C276" s="4"/>
      <c r="D276" s="4"/>
      <c r="E276" s="4"/>
      <c r="F276" s="4"/>
    </row>
    <row r="277" ht="15.75" customHeight="1">
      <c r="A277" s="4"/>
      <c r="B277" s="4"/>
      <c r="C277" s="4"/>
      <c r="D277" s="4"/>
      <c r="E277" s="4"/>
      <c r="F277" s="4"/>
    </row>
    <row r="278" ht="15.75" customHeight="1">
      <c r="A278" s="4"/>
      <c r="B278" s="4"/>
      <c r="C278" s="4"/>
      <c r="D278" s="4"/>
      <c r="E278" s="4"/>
      <c r="F278" s="4"/>
    </row>
    <row r="279" ht="15.75" customHeight="1">
      <c r="A279" s="4"/>
      <c r="B279" s="4"/>
      <c r="C279" s="4"/>
      <c r="D279" s="4"/>
      <c r="E279" s="4"/>
      <c r="F279" s="4"/>
    </row>
    <row r="280" ht="15.75" customHeight="1">
      <c r="A280" s="4"/>
      <c r="B280" s="4"/>
      <c r="C280" s="4"/>
      <c r="D280" s="4"/>
      <c r="E280" s="4"/>
      <c r="F280" s="4"/>
    </row>
    <row r="281" ht="15.75" customHeight="1">
      <c r="A281" s="4"/>
      <c r="B281" s="4"/>
      <c r="C281" s="4"/>
      <c r="D281" s="4"/>
      <c r="E281" s="4"/>
      <c r="F281" s="4"/>
    </row>
    <row r="282" ht="15.75" customHeight="1">
      <c r="A282" s="4"/>
      <c r="B282" s="4"/>
      <c r="C282" s="4"/>
      <c r="D282" s="4"/>
      <c r="E282" s="4"/>
      <c r="F282" s="4"/>
    </row>
    <row r="283" ht="15.75" customHeight="1">
      <c r="A283" s="4"/>
      <c r="B283" s="4"/>
      <c r="C283" s="4"/>
      <c r="D283" s="4"/>
      <c r="E283" s="4"/>
      <c r="F283" s="4"/>
    </row>
    <row r="284" ht="15.75" customHeight="1">
      <c r="A284" s="4"/>
      <c r="B284" s="4"/>
      <c r="C284" s="4"/>
      <c r="D284" s="4"/>
      <c r="E284" s="4"/>
      <c r="F284" s="4"/>
    </row>
    <row r="285" ht="15.75" customHeight="1">
      <c r="A285" s="4"/>
      <c r="B285" s="4"/>
      <c r="C285" s="4"/>
      <c r="D285" s="4"/>
      <c r="E285" s="4"/>
      <c r="F285" s="4"/>
    </row>
    <row r="286" ht="15.75" customHeight="1">
      <c r="A286" s="4"/>
      <c r="B286" s="4"/>
      <c r="C286" s="4"/>
      <c r="D286" s="4"/>
      <c r="E286" s="4"/>
      <c r="F286" s="4"/>
    </row>
    <row r="287" ht="15.75" customHeight="1">
      <c r="A287" s="4"/>
      <c r="B287" s="4"/>
      <c r="C287" s="4"/>
      <c r="D287" s="4"/>
      <c r="E287" s="4"/>
      <c r="F287" s="4"/>
    </row>
    <row r="288" ht="15.75" customHeight="1">
      <c r="A288" s="4"/>
      <c r="B288" s="4"/>
      <c r="C288" s="4"/>
      <c r="D288" s="4"/>
      <c r="E288" s="4"/>
      <c r="F288" s="4"/>
    </row>
    <row r="289" ht="15.75" customHeight="1">
      <c r="A289" s="4"/>
      <c r="B289" s="4"/>
      <c r="C289" s="4"/>
      <c r="D289" s="4"/>
      <c r="E289" s="4"/>
      <c r="F289" s="4"/>
    </row>
    <row r="290" ht="15.75" customHeight="1">
      <c r="A290" s="4"/>
      <c r="B290" s="4"/>
      <c r="C290" s="4"/>
      <c r="D290" s="4"/>
      <c r="E290" s="4"/>
      <c r="F290" s="4"/>
    </row>
    <row r="291" ht="15.75" customHeight="1">
      <c r="A291" s="4"/>
      <c r="B291" s="4"/>
      <c r="C291" s="4"/>
      <c r="D291" s="4"/>
      <c r="E291" s="4"/>
      <c r="F291" s="4"/>
    </row>
    <row r="292" ht="15.75" customHeight="1">
      <c r="A292" s="4"/>
      <c r="B292" s="4"/>
      <c r="C292" s="4"/>
      <c r="D292" s="4"/>
      <c r="E292" s="4"/>
      <c r="F292" s="4"/>
    </row>
    <row r="293" ht="15.75" customHeight="1">
      <c r="A293" s="4"/>
      <c r="B293" s="4"/>
      <c r="C293" s="4"/>
      <c r="D293" s="4"/>
      <c r="E293" s="4"/>
      <c r="F293" s="4"/>
    </row>
    <row r="294" ht="15.75" customHeight="1">
      <c r="A294" s="4"/>
      <c r="B294" s="4"/>
      <c r="C294" s="4"/>
      <c r="D294" s="4"/>
      <c r="E294" s="4"/>
      <c r="F294" s="4"/>
    </row>
    <row r="295" ht="15.75" customHeight="1">
      <c r="A295" s="4"/>
      <c r="B295" s="4"/>
      <c r="C295" s="4"/>
      <c r="D295" s="4"/>
      <c r="E295" s="4"/>
      <c r="F295" s="4"/>
    </row>
    <row r="296" ht="15.75" customHeight="1">
      <c r="A296" s="4"/>
      <c r="B296" s="4"/>
      <c r="C296" s="4"/>
      <c r="D296" s="4"/>
      <c r="E296" s="4"/>
      <c r="F296" s="4"/>
    </row>
    <row r="297" ht="15.75" customHeight="1">
      <c r="A297" s="4"/>
      <c r="B297" s="4"/>
      <c r="C297" s="4"/>
      <c r="D297" s="4"/>
      <c r="E297" s="4"/>
      <c r="F297" s="4"/>
    </row>
    <row r="298" ht="15.75" customHeight="1">
      <c r="A298" s="4"/>
      <c r="B298" s="4"/>
      <c r="C298" s="4"/>
      <c r="D298" s="4"/>
      <c r="E298" s="4"/>
      <c r="F298" s="4"/>
    </row>
    <row r="299" ht="15.75" customHeight="1">
      <c r="A299" s="4"/>
      <c r="B299" s="4"/>
      <c r="C299" s="4"/>
      <c r="D299" s="4"/>
      <c r="E299" s="4"/>
      <c r="F299" s="4"/>
    </row>
    <row r="300" ht="15.75" customHeight="1">
      <c r="A300" s="4"/>
      <c r="B300" s="4"/>
      <c r="C300" s="4"/>
      <c r="D300" s="4"/>
      <c r="E300" s="4"/>
      <c r="F300" s="4"/>
    </row>
    <row r="301" ht="15.75" customHeight="1">
      <c r="A301" s="4"/>
      <c r="B301" s="4"/>
      <c r="C301" s="4"/>
      <c r="D301" s="4"/>
      <c r="E301" s="4"/>
      <c r="F301" s="4"/>
    </row>
    <row r="302" ht="15.75" customHeight="1">
      <c r="A302" s="4"/>
      <c r="B302" s="4"/>
      <c r="C302" s="4"/>
      <c r="D302" s="4"/>
      <c r="E302" s="4"/>
      <c r="F302" s="4"/>
    </row>
    <row r="303" ht="15.75" customHeight="1">
      <c r="A303" s="4"/>
      <c r="B303" s="4"/>
      <c r="C303" s="4"/>
      <c r="D303" s="4"/>
      <c r="E303" s="4"/>
      <c r="F303" s="4"/>
    </row>
    <row r="304" ht="15.75" customHeight="1">
      <c r="A304" s="4"/>
      <c r="B304" s="4"/>
      <c r="C304" s="4"/>
      <c r="D304" s="4"/>
      <c r="E304" s="4"/>
      <c r="F304" s="4"/>
    </row>
    <row r="305" ht="15.75" customHeight="1">
      <c r="A305" s="4"/>
      <c r="B305" s="4"/>
      <c r="C305" s="4"/>
      <c r="D305" s="4"/>
      <c r="E305" s="4"/>
      <c r="F305" s="4"/>
    </row>
    <row r="306" ht="15.75" customHeight="1">
      <c r="A306" s="4"/>
      <c r="B306" s="4"/>
      <c r="C306" s="4"/>
      <c r="D306" s="4"/>
      <c r="E306" s="4"/>
      <c r="F306" s="4"/>
    </row>
    <row r="307" ht="15.75" customHeight="1">
      <c r="A307" s="4"/>
      <c r="B307" s="4"/>
      <c r="C307" s="4"/>
      <c r="D307" s="4"/>
      <c r="E307" s="4"/>
      <c r="F307" s="4"/>
    </row>
    <row r="308" ht="15.75" customHeight="1">
      <c r="A308" s="4"/>
      <c r="B308" s="4"/>
      <c r="C308" s="4"/>
      <c r="D308" s="4"/>
      <c r="E308" s="4"/>
      <c r="F308" s="4"/>
    </row>
    <row r="309" ht="15.75" customHeight="1">
      <c r="A309" s="4"/>
      <c r="B309" s="4"/>
      <c r="C309" s="4"/>
      <c r="D309" s="4"/>
      <c r="E309" s="4"/>
      <c r="F309" s="4"/>
    </row>
    <row r="310" ht="15.75" customHeight="1">
      <c r="A310" s="4"/>
      <c r="B310" s="4"/>
      <c r="C310" s="4"/>
      <c r="D310" s="4"/>
      <c r="E310" s="4"/>
      <c r="F310" s="4"/>
    </row>
    <row r="311" ht="15.75" customHeight="1">
      <c r="A311" s="4"/>
      <c r="B311" s="4"/>
      <c r="C311" s="4"/>
      <c r="D311" s="4"/>
      <c r="E311" s="4"/>
      <c r="F311" s="4"/>
    </row>
    <row r="312" ht="15.75" customHeight="1">
      <c r="A312" s="4"/>
      <c r="B312" s="4"/>
      <c r="C312" s="4"/>
      <c r="D312" s="4"/>
      <c r="E312" s="4"/>
      <c r="F312" s="4"/>
    </row>
    <row r="313" ht="15.75" customHeight="1">
      <c r="A313" s="4"/>
      <c r="B313" s="4"/>
      <c r="C313" s="4"/>
      <c r="D313" s="4"/>
      <c r="E313" s="4"/>
      <c r="F313" s="4"/>
    </row>
    <row r="314" ht="15.75" customHeight="1">
      <c r="A314" s="4"/>
      <c r="B314" s="4"/>
      <c r="C314" s="4"/>
      <c r="D314" s="4"/>
      <c r="E314" s="4"/>
      <c r="F314" s="4"/>
    </row>
    <row r="315" ht="15.75" customHeight="1">
      <c r="A315" s="4"/>
      <c r="B315" s="4"/>
      <c r="C315" s="4"/>
      <c r="D315" s="4"/>
      <c r="E315" s="4"/>
      <c r="F315" s="4"/>
    </row>
    <row r="316" ht="15.75" customHeight="1">
      <c r="A316" s="4"/>
      <c r="B316" s="4"/>
      <c r="C316" s="4"/>
      <c r="D316" s="4"/>
      <c r="E316" s="4"/>
      <c r="F316" s="4"/>
    </row>
    <row r="317" ht="15.75" customHeight="1">
      <c r="A317" s="4"/>
      <c r="B317" s="4"/>
      <c r="C317" s="4"/>
      <c r="D317" s="4"/>
      <c r="E317" s="4"/>
      <c r="F317" s="4"/>
    </row>
    <row r="318" ht="15.75" customHeight="1">
      <c r="A318" s="4"/>
      <c r="B318" s="4"/>
      <c r="C318" s="4"/>
      <c r="D318" s="4"/>
      <c r="E318" s="4"/>
      <c r="F318" s="4"/>
    </row>
    <row r="319" ht="15.75" customHeight="1">
      <c r="A319" s="4"/>
      <c r="B319" s="4"/>
      <c r="C319" s="4"/>
      <c r="D319" s="4"/>
      <c r="E319" s="4"/>
      <c r="F319" s="4"/>
    </row>
    <row r="320" ht="15.75" customHeight="1">
      <c r="A320" s="4"/>
      <c r="B320" s="4"/>
      <c r="C320" s="4"/>
      <c r="D320" s="4"/>
      <c r="E320" s="4"/>
      <c r="F320" s="4"/>
    </row>
    <row r="321" ht="15.75" customHeight="1">
      <c r="A321" s="4"/>
      <c r="B321" s="4"/>
      <c r="C321" s="4"/>
      <c r="D321" s="4"/>
      <c r="E321" s="4"/>
      <c r="F321" s="4"/>
    </row>
    <row r="322" ht="15.75" customHeight="1">
      <c r="A322" s="4"/>
      <c r="B322" s="4"/>
      <c r="C322" s="4"/>
      <c r="D322" s="4"/>
      <c r="E322" s="4"/>
      <c r="F322" s="4"/>
    </row>
    <row r="323" ht="15.75" customHeight="1">
      <c r="A323" s="4"/>
      <c r="B323" s="4"/>
      <c r="C323" s="4"/>
      <c r="D323" s="4"/>
      <c r="E323" s="4"/>
      <c r="F323" s="4"/>
    </row>
    <row r="324" ht="15.75" customHeight="1">
      <c r="A324" s="4"/>
      <c r="B324" s="4"/>
      <c r="C324" s="4"/>
      <c r="D324" s="4"/>
      <c r="E324" s="4"/>
      <c r="F324" s="4"/>
    </row>
    <row r="325" ht="15.75" customHeight="1">
      <c r="A325" s="4"/>
      <c r="B325" s="4"/>
      <c r="C325" s="4"/>
      <c r="D325" s="4"/>
      <c r="E325" s="4"/>
      <c r="F325" s="4"/>
    </row>
    <row r="326" ht="15.75" customHeight="1">
      <c r="A326" s="4"/>
      <c r="B326" s="4"/>
      <c r="C326" s="4"/>
      <c r="D326" s="4"/>
      <c r="E326" s="4"/>
      <c r="F326" s="4"/>
    </row>
    <row r="327" ht="15.75" customHeight="1">
      <c r="A327" s="4"/>
      <c r="B327" s="4"/>
      <c r="C327" s="4"/>
      <c r="D327" s="4"/>
      <c r="E327" s="4"/>
      <c r="F327" s="4"/>
    </row>
    <row r="328" ht="15.75" customHeight="1">
      <c r="A328" s="4"/>
      <c r="B328" s="4"/>
      <c r="C328" s="4"/>
      <c r="D328" s="4"/>
      <c r="E328" s="4"/>
      <c r="F328" s="4"/>
    </row>
    <row r="329" ht="15.75" customHeight="1">
      <c r="A329" s="4"/>
      <c r="B329" s="4"/>
      <c r="C329" s="4"/>
      <c r="D329" s="4"/>
      <c r="E329" s="4"/>
      <c r="F329" s="4"/>
    </row>
    <row r="330" ht="15.75" customHeight="1">
      <c r="A330" s="4"/>
      <c r="B330" s="4"/>
      <c r="C330" s="4"/>
      <c r="D330" s="4"/>
      <c r="E330" s="4"/>
      <c r="F330" s="4"/>
    </row>
    <row r="331" ht="15.75" customHeight="1">
      <c r="A331" s="4"/>
      <c r="B331" s="4"/>
      <c r="C331" s="4"/>
      <c r="D331" s="4"/>
      <c r="E331" s="4"/>
      <c r="F331" s="4"/>
    </row>
    <row r="332" ht="15.75" customHeight="1">
      <c r="A332" s="4"/>
      <c r="B332" s="4"/>
      <c r="C332" s="4"/>
      <c r="D332" s="4"/>
      <c r="E332" s="4"/>
      <c r="F332" s="4"/>
    </row>
    <row r="333" ht="15.75" customHeight="1">
      <c r="A333" s="4"/>
      <c r="B333" s="4"/>
      <c r="C333" s="4"/>
      <c r="D333" s="4"/>
      <c r="E333" s="4"/>
      <c r="F333" s="4"/>
    </row>
    <row r="334" ht="15.75" customHeight="1">
      <c r="A334" s="4"/>
      <c r="B334" s="4"/>
      <c r="C334" s="4"/>
      <c r="D334" s="4"/>
      <c r="E334" s="4"/>
      <c r="F334" s="4"/>
    </row>
    <row r="335" ht="15.75" customHeight="1">
      <c r="A335" s="4"/>
      <c r="B335" s="4"/>
      <c r="C335" s="4"/>
      <c r="D335" s="4"/>
      <c r="E335" s="4"/>
      <c r="F335" s="4"/>
    </row>
    <row r="336" ht="15.75" customHeight="1">
      <c r="A336" s="4"/>
      <c r="B336" s="4"/>
      <c r="C336" s="4"/>
      <c r="D336" s="4"/>
      <c r="E336" s="4"/>
      <c r="F336" s="4"/>
    </row>
    <row r="337" ht="15.75" customHeight="1">
      <c r="A337" s="4"/>
      <c r="B337" s="4"/>
      <c r="C337" s="4"/>
      <c r="D337" s="4"/>
      <c r="E337" s="4"/>
      <c r="F337" s="4"/>
    </row>
    <row r="338" ht="15.75" customHeight="1">
      <c r="A338" s="4"/>
      <c r="B338" s="4"/>
      <c r="C338" s="4"/>
      <c r="D338" s="4"/>
      <c r="E338" s="4"/>
      <c r="F338" s="4"/>
    </row>
    <row r="339" ht="15.75" customHeight="1">
      <c r="A339" s="4"/>
      <c r="B339" s="4"/>
      <c r="C339" s="4"/>
      <c r="D339" s="4"/>
      <c r="E339" s="4"/>
      <c r="F339" s="4"/>
    </row>
    <row r="340" ht="15.75" customHeight="1">
      <c r="A340" s="4"/>
      <c r="B340" s="4"/>
      <c r="C340" s="4"/>
      <c r="D340" s="4"/>
      <c r="E340" s="4"/>
      <c r="F340" s="4"/>
    </row>
    <row r="341" ht="15.75" customHeight="1">
      <c r="A341" s="4"/>
      <c r="B341" s="4"/>
      <c r="C341" s="4"/>
      <c r="D341" s="4"/>
      <c r="E341" s="4"/>
      <c r="F341" s="4"/>
    </row>
    <row r="342" ht="15.75" customHeight="1">
      <c r="A342" s="4"/>
      <c r="B342" s="4"/>
      <c r="C342" s="4"/>
      <c r="D342" s="4"/>
      <c r="E342" s="4"/>
      <c r="F342" s="4"/>
    </row>
    <row r="343" ht="15.75" customHeight="1">
      <c r="A343" s="4"/>
      <c r="B343" s="4"/>
      <c r="C343" s="4"/>
      <c r="D343" s="4"/>
      <c r="E343" s="4"/>
      <c r="F343" s="4"/>
    </row>
    <row r="344" ht="15.75" customHeight="1">
      <c r="A344" s="4"/>
      <c r="B344" s="4"/>
      <c r="C344" s="4"/>
      <c r="D344" s="4"/>
      <c r="E344" s="4"/>
      <c r="F344" s="4"/>
    </row>
    <row r="345" ht="15.75" customHeight="1">
      <c r="A345" s="4"/>
      <c r="B345" s="4"/>
      <c r="C345" s="4"/>
      <c r="D345" s="4"/>
      <c r="E345" s="4"/>
      <c r="F345" s="4"/>
    </row>
    <row r="346" ht="15.75" customHeight="1">
      <c r="A346" s="4"/>
      <c r="B346" s="4"/>
      <c r="C346" s="4"/>
      <c r="D346" s="4"/>
      <c r="E346" s="4"/>
      <c r="F346" s="4"/>
    </row>
    <row r="347" ht="15.75" customHeight="1">
      <c r="A347" s="4"/>
      <c r="B347" s="4"/>
      <c r="C347" s="4"/>
      <c r="D347" s="4"/>
      <c r="E347" s="4"/>
      <c r="F347" s="4"/>
    </row>
    <row r="348" ht="15.75" customHeight="1">
      <c r="A348" s="4"/>
      <c r="B348" s="4"/>
      <c r="C348" s="4"/>
      <c r="D348" s="4"/>
      <c r="E348" s="4"/>
      <c r="F348" s="4"/>
    </row>
    <row r="349" ht="15.75" customHeight="1">
      <c r="A349" s="4"/>
      <c r="B349" s="4"/>
      <c r="C349" s="4"/>
      <c r="D349" s="4"/>
      <c r="E349" s="4"/>
      <c r="F349" s="4"/>
    </row>
    <row r="350" ht="15.75" customHeight="1">
      <c r="A350" s="4"/>
      <c r="B350" s="4"/>
      <c r="C350" s="4"/>
      <c r="D350" s="4"/>
      <c r="E350" s="4"/>
      <c r="F350" s="4"/>
    </row>
    <row r="351" ht="15.75" customHeight="1">
      <c r="A351" s="4"/>
      <c r="B351" s="4"/>
      <c r="C351" s="4"/>
      <c r="D351" s="4"/>
      <c r="E351" s="4"/>
      <c r="F351" s="4"/>
    </row>
    <row r="352" ht="15.75" customHeight="1">
      <c r="A352" s="4"/>
      <c r="B352" s="4"/>
      <c r="C352" s="4"/>
      <c r="D352" s="4"/>
      <c r="E352" s="4"/>
      <c r="F352" s="4"/>
    </row>
    <row r="353" ht="15.75" customHeight="1">
      <c r="A353" s="4"/>
      <c r="B353" s="4"/>
      <c r="C353" s="4"/>
      <c r="D353" s="4"/>
      <c r="E353" s="4"/>
      <c r="F353" s="4"/>
    </row>
    <row r="354" ht="15.75" customHeight="1">
      <c r="A354" s="4"/>
      <c r="B354" s="4"/>
      <c r="C354" s="4"/>
      <c r="D354" s="4"/>
      <c r="E354" s="4"/>
      <c r="F354" s="4"/>
    </row>
    <row r="355" ht="15.75" customHeight="1">
      <c r="A355" s="4"/>
      <c r="B355" s="4"/>
      <c r="C355" s="4"/>
      <c r="D355" s="4"/>
      <c r="E355" s="4"/>
      <c r="F355" s="4"/>
    </row>
    <row r="356" ht="15.75" customHeight="1">
      <c r="A356" s="4"/>
      <c r="B356" s="4"/>
      <c r="C356" s="4"/>
      <c r="D356" s="4"/>
      <c r="E356" s="4"/>
      <c r="F356" s="4"/>
    </row>
    <row r="357" ht="15.75" customHeight="1">
      <c r="A357" s="4"/>
      <c r="B357" s="4"/>
      <c r="C357" s="4"/>
      <c r="D357" s="4"/>
      <c r="E357" s="4"/>
      <c r="F357" s="4"/>
    </row>
    <row r="358" ht="15.75" customHeight="1">
      <c r="A358" s="4"/>
      <c r="B358" s="4"/>
      <c r="C358" s="4"/>
      <c r="D358" s="4"/>
      <c r="E358" s="4"/>
      <c r="F358" s="4"/>
    </row>
    <row r="359" ht="15.75" customHeight="1">
      <c r="A359" s="4"/>
      <c r="B359" s="4"/>
      <c r="C359" s="4"/>
      <c r="D359" s="4"/>
      <c r="E359" s="4"/>
      <c r="F359" s="4"/>
    </row>
    <row r="360" ht="15.75" customHeight="1">
      <c r="A360" s="4"/>
      <c r="B360" s="4"/>
      <c r="C360" s="4"/>
      <c r="D360" s="4"/>
      <c r="E360" s="4"/>
      <c r="F360" s="4"/>
    </row>
    <row r="361" ht="15.75" customHeight="1">
      <c r="A361" s="4"/>
      <c r="B361" s="4"/>
      <c r="C361" s="4"/>
      <c r="D361" s="4"/>
      <c r="E361" s="4"/>
      <c r="F361" s="4"/>
    </row>
    <row r="362" ht="15.75" customHeight="1">
      <c r="A362" s="4"/>
      <c r="B362" s="4"/>
      <c r="C362" s="4"/>
      <c r="D362" s="4"/>
      <c r="E362" s="4"/>
      <c r="F362" s="4"/>
    </row>
    <row r="363" ht="15.75" customHeight="1">
      <c r="A363" s="4"/>
      <c r="B363" s="4"/>
      <c r="C363" s="4"/>
      <c r="D363" s="4"/>
      <c r="E363" s="4"/>
      <c r="F363" s="4"/>
    </row>
    <row r="364" ht="15.75" customHeight="1">
      <c r="A364" s="4"/>
      <c r="B364" s="4"/>
      <c r="C364" s="4"/>
      <c r="D364" s="4"/>
      <c r="E364" s="4"/>
      <c r="F364" s="4"/>
    </row>
    <row r="365" ht="15.75" customHeight="1">
      <c r="A365" s="4"/>
      <c r="B365" s="4"/>
      <c r="C365" s="4"/>
      <c r="D365" s="4"/>
      <c r="E365" s="4"/>
      <c r="F365" s="4"/>
    </row>
    <row r="366" ht="15.75" customHeight="1">
      <c r="A366" s="4"/>
      <c r="B366" s="4"/>
      <c r="C366" s="4"/>
      <c r="D366" s="4"/>
      <c r="E366" s="4"/>
      <c r="F366" s="4"/>
    </row>
    <row r="367" ht="15.75" customHeight="1">
      <c r="A367" s="4"/>
      <c r="B367" s="4"/>
      <c r="C367" s="4"/>
      <c r="D367" s="4"/>
      <c r="E367" s="4"/>
      <c r="F367" s="4"/>
    </row>
    <row r="368" ht="15.75" customHeight="1">
      <c r="A368" s="4"/>
      <c r="B368" s="4"/>
      <c r="C368" s="4"/>
      <c r="D368" s="4"/>
      <c r="E368" s="4"/>
      <c r="F368" s="4"/>
    </row>
    <row r="369" ht="15.75" customHeight="1">
      <c r="A369" s="4"/>
      <c r="B369" s="4"/>
      <c r="C369" s="4"/>
      <c r="D369" s="4"/>
      <c r="E369" s="4"/>
      <c r="F369" s="4"/>
    </row>
    <row r="370" ht="15.75" customHeight="1">
      <c r="A370" s="4"/>
      <c r="B370" s="4"/>
      <c r="C370" s="4"/>
      <c r="D370" s="4"/>
      <c r="E370" s="4"/>
      <c r="F370" s="4"/>
    </row>
    <row r="371" ht="15.75" customHeight="1">
      <c r="A371" s="4"/>
      <c r="B371" s="4"/>
      <c r="C371" s="4"/>
      <c r="D371" s="4"/>
      <c r="E371" s="4"/>
      <c r="F371" s="4"/>
    </row>
    <row r="372" ht="15.75" customHeight="1">
      <c r="A372" s="4"/>
      <c r="B372" s="4"/>
      <c r="C372" s="4"/>
      <c r="D372" s="4"/>
      <c r="E372" s="4"/>
      <c r="F372" s="4"/>
    </row>
    <row r="373" ht="15.75" customHeight="1">
      <c r="A373" s="4"/>
      <c r="B373" s="4"/>
      <c r="C373" s="4"/>
      <c r="D373" s="4"/>
      <c r="E373" s="4"/>
      <c r="F373" s="4"/>
    </row>
    <row r="374" ht="15.75" customHeight="1">
      <c r="A374" s="4"/>
      <c r="B374" s="4"/>
      <c r="C374" s="4"/>
      <c r="D374" s="4"/>
      <c r="E374" s="4"/>
      <c r="F374" s="4"/>
    </row>
    <row r="375" ht="15.75" customHeight="1">
      <c r="A375" s="4"/>
      <c r="B375" s="4"/>
      <c r="C375" s="4"/>
      <c r="D375" s="4"/>
      <c r="E375" s="4"/>
      <c r="F375" s="4"/>
    </row>
    <row r="376" ht="15.75" customHeight="1">
      <c r="A376" s="4"/>
      <c r="B376" s="4"/>
      <c r="C376" s="4"/>
      <c r="D376" s="4"/>
      <c r="E376" s="4"/>
      <c r="F376" s="4"/>
    </row>
    <row r="377" ht="15.75" customHeight="1">
      <c r="A377" s="4"/>
      <c r="B377" s="4"/>
      <c r="C377" s="4"/>
      <c r="D377" s="4"/>
      <c r="E377" s="4"/>
      <c r="F377" s="4"/>
    </row>
    <row r="378" ht="15.75" customHeight="1">
      <c r="A378" s="4"/>
      <c r="B378" s="4"/>
      <c r="C378" s="4"/>
      <c r="D378" s="4"/>
      <c r="E378" s="4"/>
      <c r="F378" s="4"/>
    </row>
    <row r="379" ht="15.75" customHeight="1">
      <c r="A379" s="4"/>
      <c r="B379" s="4"/>
      <c r="C379" s="4"/>
      <c r="D379" s="4"/>
      <c r="E379" s="4"/>
      <c r="F379" s="4"/>
    </row>
    <row r="380" ht="15.75" customHeight="1">
      <c r="A380" s="4"/>
      <c r="B380" s="4"/>
      <c r="C380" s="4"/>
      <c r="D380" s="4"/>
      <c r="E380" s="4"/>
      <c r="F380" s="4"/>
    </row>
    <row r="381" ht="15.75" customHeight="1">
      <c r="A381" s="4"/>
      <c r="B381" s="4"/>
      <c r="C381" s="4"/>
      <c r="D381" s="4"/>
      <c r="E381" s="4"/>
      <c r="F381" s="4"/>
    </row>
    <row r="382" ht="15.75" customHeight="1">
      <c r="A382" s="4"/>
      <c r="B382" s="4"/>
      <c r="C382" s="4"/>
      <c r="D382" s="4"/>
      <c r="E382" s="4"/>
      <c r="F382" s="4"/>
    </row>
    <row r="383" ht="15.75" customHeight="1">
      <c r="A383" s="4"/>
      <c r="B383" s="4"/>
      <c r="C383" s="4"/>
      <c r="D383" s="4"/>
      <c r="E383" s="4"/>
      <c r="F383" s="4"/>
    </row>
    <row r="384" ht="15.75" customHeight="1">
      <c r="A384" s="4"/>
      <c r="B384" s="4"/>
      <c r="C384" s="4"/>
      <c r="D384" s="4"/>
      <c r="E384" s="4"/>
      <c r="F384" s="4"/>
    </row>
    <row r="385" ht="15.75" customHeight="1">
      <c r="A385" s="4"/>
      <c r="B385" s="4"/>
      <c r="C385" s="4"/>
      <c r="D385" s="4"/>
      <c r="E385" s="4"/>
      <c r="F385" s="4"/>
    </row>
    <row r="386" ht="15.75" customHeight="1">
      <c r="A386" s="4"/>
      <c r="B386" s="4"/>
      <c r="C386" s="4"/>
      <c r="D386" s="4"/>
      <c r="E386" s="4"/>
      <c r="F386" s="4"/>
    </row>
    <row r="387" ht="15.75" customHeight="1">
      <c r="A387" s="4"/>
      <c r="B387" s="4"/>
      <c r="C387" s="4"/>
      <c r="D387" s="4"/>
      <c r="E387" s="4"/>
      <c r="F387" s="4"/>
    </row>
    <row r="388" ht="15.75" customHeight="1">
      <c r="A388" s="4"/>
      <c r="B388" s="4"/>
      <c r="C388" s="4"/>
      <c r="D388" s="4"/>
      <c r="E388" s="4"/>
      <c r="F388" s="4"/>
    </row>
    <row r="389" ht="15.75" customHeight="1">
      <c r="A389" s="4"/>
      <c r="B389" s="4"/>
      <c r="C389" s="4"/>
      <c r="D389" s="4"/>
      <c r="E389" s="4"/>
      <c r="F389" s="4"/>
    </row>
    <row r="390" ht="15.75" customHeight="1">
      <c r="A390" s="4"/>
      <c r="B390" s="4"/>
      <c r="C390" s="4"/>
      <c r="D390" s="4"/>
      <c r="E390" s="4"/>
      <c r="F390" s="4"/>
    </row>
    <row r="391" ht="15.75" customHeight="1">
      <c r="A391" s="4"/>
      <c r="B391" s="4"/>
      <c r="C391" s="4"/>
      <c r="D391" s="4"/>
      <c r="E391" s="4"/>
      <c r="F391" s="4"/>
    </row>
    <row r="392" ht="15.75" customHeight="1">
      <c r="A392" s="4"/>
      <c r="B392" s="4"/>
      <c r="C392" s="4"/>
      <c r="D392" s="4"/>
      <c r="E392" s="4"/>
      <c r="F392" s="4"/>
    </row>
    <row r="393" ht="15.75" customHeight="1">
      <c r="A393" s="4"/>
      <c r="B393" s="4"/>
      <c r="C393" s="4"/>
      <c r="D393" s="4"/>
      <c r="E393" s="4"/>
      <c r="F393" s="4"/>
    </row>
    <row r="394" ht="15.75" customHeight="1">
      <c r="A394" s="4"/>
      <c r="B394" s="4"/>
      <c r="C394" s="4"/>
      <c r="D394" s="4"/>
      <c r="E394" s="4"/>
      <c r="F394" s="4"/>
    </row>
    <row r="395" ht="15.75" customHeight="1">
      <c r="A395" s="4"/>
      <c r="B395" s="4"/>
      <c r="C395" s="4"/>
      <c r="D395" s="4"/>
      <c r="E395" s="4"/>
      <c r="F395" s="4"/>
    </row>
    <row r="396" ht="15.75" customHeight="1">
      <c r="A396" s="4"/>
      <c r="B396" s="4"/>
      <c r="C396" s="4"/>
      <c r="D396" s="4"/>
      <c r="E396" s="4"/>
      <c r="F396" s="4"/>
    </row>
    <row r="397" ht="15.75" customHeight="1">
      <c r="A397" s="4"/>
      <c r="B397" s="4"/>
      <c r="C397" s="4"/>
      <c r="D397" s="4"/>
      <c r="E397" s="4"/>
      <c r="F397" s="4"/>
    </row>
    <row r="398" ht="15.75" customHeight="1">
      <c r="A398" s="4"/>
      <c r="B398" s="4"/>
      <c r="C398" s="4"/>
      <c r="D398" s="4"/>
      <c r="E398" s="4"/>
      <c r="F398" s="4"/>
    </row>
    <row r="399" ht="15.75" customHeight="1">
      <c r="A399" s="4"/>
      <c r="B399" s="4"/>
      <c r="C399" s="4"/>
      <c r="D399" s="4"/>
      <c r="E399" s="4"/>
      <c r="F399" s="4"/>
    </row>
    <row r="400" ht="15.75" customHeight="1">
      <c r="A400" s="4"/>
      <c r="B400" s="4"/>
      <c r="C400" s="4"/>
      <c r="D400" s="4"/>
      <c r="E400" s="4"/>
      <c r="F400" s="4"/>
    </row>
    <row r="401" ht="15.75" customHeight="1">
      <c r="A401" s="4"/>
      <c r="B401" s="4"/>
      <c r="C401" s="4"/>
      <c r="D401" s="4"/>
      <c r="E401" s="4"/>
      <c r="F401" s="4"/>
    </row>
    <row r="402" ht="15.75" customHeight="1">
      <c r="A402" s="4"/>
      <c r="B402" s="4"/>
      <c r="C402" s="4"/>
      <c r="D402" s="4"/>
      <c r="E402" s="4"/>
      <c r="F402" s="4"/>
    </row>
    <row r="403" ht="15.75" customHeight="1">
      <c r="A403" s="4"/>
      <c r="B403" s="4"/>
      <c r="C403" s="4"/>
      <c r="D403" s="4"/>
      <c r="E403" s="4"/>
      <c r="F403" s="4"/>
    </row>
    <row r="404" ht="15.75" customHeight="1">
      <c r="A404" s="4"/>
      <c r="B404" s="4"/>
      <c r="C404" s="4"/>
      <c r="D404" s="4"/>
      <c r="E404" s="4"/>
      <c r="F404" s="4"/>
    </row>
    <row r="405" ht="15.75" customHeight="1">
      <c r="A405" s="4"/>
      <c r="B405" s="4"/>
      <c r="C405" s="4"/>
      <c r="D405" s="4"/>
      <c r="E405" s="4"/>
      <c r="F405" s="4"/>
    </row>
    <row r="406" ht="15.75" customHeight="1">
      <c r="A406" s="4"/>
      <c r="B406" s="4"/>
      <c r="C406" s="4"/>
      <c r="D406" s="4"/>
      <c r="E406" s="4"/>
      <c r="F406" s="4"/>
    </row>
    <row r="407" ht="15.75" customHeight="1">
      <c r="A407" s="4"/>
      <c r="B407" s="4"/>
      <c r="C407" s="4"/>
      <c r="D407" s="4"/>
      <c r="E407" s="4"/>
      <c r="F407" s="4"/>
    </row>
    <row r="408" ht="15.75" customHeight="1">
      <c r="A408" s="4"/>
      <c r="B408" s="4"/>
      <c r="C408" s="4"/>
      <c r="D408" s="4"/>
      <c r="E408" s="4"/>
      <c r="F408" s="4"/>
    </row>
    <row r="409" ht="15.75" customHeight="1">
      <c r="A409" s="4"/>
      <c r="B409" s="4"/>
      <c r="C409" s="4"/>
      <c r="D409" s="4"/>
      <c r="E409" s="4"/>
      <c r="F409" s="4"/>
    </row>
    <row r="410" ht="15.75" customHeight="1">
      <c r="A410" s="4"/>
      <c r="B410" s="4"/>
      <c r="C410" s="4"/>
      <c r="D410" s="4"/>
      <c r="E410" s="4"/>
      <c r="F410" s="4"/>
    </row>
    <row r="411" ht="15.75" customHeight="1">
      <c r="A411" s="4"/>
      <c r="B411" s="4"/>
      <c r="C411" s="4"/>
      <c r="D411" s="4"/>
      <c r="E411" s="4"/>
      <c r="F411" s="4"/>
    </row>
    <row r="412" ht="15.75" customHeight="1">
      <c r="A412" s="4"/>
      <c r="B412" s="4"/>
      <c r="C412" s="4"/>
      <c r="D412" s="4"/>
      <c r="E412" s="4"/>
      <c r="F412" s="4"/>
    </row>
    <row r="413" ht="15.75" customHeight="1">
      <c r="A413" s="4"/>
      <c r="B413" s="4"/>
      <c r="C413" s="4"/>
      <c r="D413" s="4"/>
      <c r="E413" s="4"/>
      <c r="F413" s="4"/>
    </row>
    <row r="414" ht="15.75" customHeight="1">
      <c r="A414" s="4"/>
      <c r="B414" s="4"/>
      <c r="C414" s="4"/>
      <c r="D414" s="4"/>
      <c r="E414" s="4"/>
      <c r="F414" s="4"/>
    </row>
    <row r="415" ht="15.75" customHeight="1">
      <c r="A415" s="4"/>
      <c r="B415" s="4"/>
      <c r="C415" s="4"/>
      <c r="D415" s="4"/>
      <c r="E415" s="4"/>
      <c r="F415" s="4"/>
    </row>
    <row r="416" ht="15.75" customHeight="1">
      <c r="A416" s="4"/>
      <c r="B416" s="4"/>
      <c r="C416" s="4"/>
      <c r="D416" s="4"/>
      <c r="E416" s="4"/>
      <c r="F416" s="4"/>
    </row>
    <row r="417" ht="15.75" customHeight="1">
      <c r="A417" s="4"/>
      <c r="B417" s="4"/>
      <c r="C417" s="4"/>
      <c r="D417" s="4"/>
      <c r="E417" s="4"/>
      <c r="F417" s="4"/>
    </row>
    <row r="418" ht="15.75" customHeight="1">
      <c r="A418" s="4"/>
      <c r="B418" s="4"/>
      <c r="C418" s="4"/>
      <c r="D418" s="4"/>
      <c r="E418" s="4"/>
      <c r="F418" s="4"/>
    </row>
    <row r="419" ht="15.75" customHeight="1">
      <c r="A419" s="4"/>
      <c r="B419" s="4"/>
      <c r="C419" s="4"/>
      <c r="D419" s="4"/>
      <c r="E419" s="4"/>
      <c r="F419" s="4"/>
    </row>
    <row r="420" ht="15.75" customHeight="1">
      <c r="A420" s="4"/>
      <c r="B420" s="4"/>
      <c r="C420" s="4"/>
      <c r="D420" s="4"/>
      <c r="E420" s="4"/>
      <c r="F420" s="4"/>
    </row>
    <row r="421" ht="15.75" customHeight="1">
      <c r="A421" s="4"/>
      <c r="B421" s="4"/>
      <c r="C421" s="4"/>
      <c r="D421" s="4"/>
      <c r="E421" s="4"/>
      <c r="F421" s="4"/>
    </row>
    <row r="422" ht="15.75" customHeight="1">
      <c r="A422" s="4"/>
      <c r="B422" s="4"/>
      <c r="C422" s="4"/>
      <c r="D422" s="4"/>
      <c r="E422" s="4"/>
      <c r="F422" s="4"/>
    </row>
    <row r="423" ht="15.75" customHeight="1">
      <c r="A423" s="4"/>
      <c r="B423" s="4"/>
      <c r="C423" s="4"/>
      <c r="D423" s="4"/>
      <c r="E423" s="4"/>
      <c r="F423" s="4"/>
    </row>
    <row r="424" ht="15.75" customHeight="1">
      <c r="A424" s="4"/>
      <c r="B424" s="4"/>
      <c r="C424" s="4"/>
      <c r="D424" s="4"/>
      <c r="E424" s="4"/>
      <c r="F424" s="4"/>
    </row>
    <row r="425" ht="15.75" customHeight="1">
      <c r="A425" s="4"/>
      <c r="B425" s="4"/>
      <c r="C425" s="4"/>
      <c r="D425" s="4"/>
      <c r="E425" s="4"/>
      <c r="F425" s="4"/>
    </row>
    <row r="426" ht="15.75" customHeight="1">
      <c r="A426" s="4"/>
      <c r="B426" s="4"/>
      <c r="C426" s="4"/>
      <c r="D426" s="4"/>
      <c r="E426" s="4"/>
      <c r="F426" s="4"/>
    </row>
    <row r="427" ht="15.75" customHeight="1">
      <c r="A427" s="4"/>
      <c r="B427" s="4"/>
      <c r="C427" s="4"/>
      <c r="D427" s="4"/>
      <c r="E427" s="4"/>
      <c r="F427" s="4"/>
    </row>
    <row r="428" ht="15.75" customHeight="1">
      <c r="A428" s="4"/>
      <c r="B428" s="4"/>
      <c r="C428" s="4"/>
      <c r="D428" s="4"/>
      <c r="E428" s="4"/>
      <c r="F428" s="4"/>
    </row>
    <row r="429" ht="15.75" customHeight="1">
      <c r="A429" s="4"/>
      <c r="B429" s="4"/>
      <c r="C429" s="4"/>
      <c r="D429" s="4"/>
      <c r="E429" s="4"/>
      <c r="F429" s="4"/>
    </row>
    <row r="430" ht="15.75" customHeight="1">
      <c r="A430" s="4"/>
      <c r="B430" s="4"/>
      <c r="C430" s="4"/>
      <c r="D430" s="4"/>
      <c r="E430" s="4"/>
      <c r="F430" s="4"/>
    </row>
    <row r="431" ht="15.75" customHeight="1">
      <c r="A431" s="4"/>
      <c r="B431" s="4"/>
      <c r="C431" s="4"/>
      <c r="D431" s="4"/>
      <c r="E431" s="4"/>
      <c r="F431" s="4"/>
    </row>
    <row r="432" ht="15.75" customHeight="1">
      <c r="A432" s="4"/>
      <c r="B432" s="4"/>
      <c r="C432" s="4"/>
      <c r="D432" s="4"/>
      <c r="E432" s="4"/>
      <c r="F432" s="4"/>
    </row>
    <row r="433" ht="15.75" customHeight="1">
      <c r="A433" s="4"/>
      <c r="B433" s="4"/>
      <c r="C433" s="4"/>
      <c r="D433" s="4"/>
      <c r="E433" s="4"/>
      <c r="F433" s="4"/>
    </row>
    <row r="434" ht="15.75" customHeight="1">
      <c r="A434" s="4"/>
      <c r="B434" s="4"/>
      <c r="C434" s="4"/>
      <c r="D434" s="4"/>
      <c r="E434" s="4"/>
      <c r="F434" s="4"/>
    </row>
    <row r="435" ht="15.75" customHeight="1">
      <c r="A435" s="4"/>
      <c r="B435" s="4"/>
      <c r="C435" s="4"/>
      <c r="D435" s="4"/>
      <c r="E435" s="4"/>
      <c r="F435" s="4"/>
    </row>
    <row r="436" ht="15.75" customHeight="1">
      <c r="A436" s="4"/>
      <c r="B436" s="4"/>
      <c r="C436" s="4"/>
      <c r="D436" s="4"/>
      <c r="E436" s="4"/>
      <c r="F436" s="4"/>
    </row>
    <row r="437" ht="15.75" customHeight="1">
      <c r="A437" s="4"/>
      <c r="B437" s="4"/>
      <c r="C437" s="4"/>
      <c r="D437" s="4"/>
      <c r="E437" s="4"/>
      <c r="F437" s="4"/>
    </row>
    <row r="438" ht="15.75" customHeight="1">
      <c r="A438" s="4"/>
      <c r="B438" s="4"/>
      <c r="C438" s="4"/>
      <c r="D438" s="4"/>
      <c r="E438" s="4"/>
      <c r="F438" s="4"/>
    </row>
    <row r="439" ht="15.75" customHeight="1">
      <c r="A439" s="4"/>
      <c r="B439" s="4"/>
      <c r="C439" s="4"/>
      <c r="D439" s="4"/>
      <c r="E439" s="4"/>
      <c r="F439" s="4"/>
    </row>
    <row r="440" ht="15.75" customHeight="1">
      <c r="A440" s="4"/>
      <c r="B440" s="4"/>
      <c r="C440" s="4"/>
      <c r="D440" s="4"/>
      <c r="E440" s="4"/>
      <c r="F440" s="4"/>
    </row>
    <row r="441" ht="15.75" customHeight="1">
      <c r="A441" s="4"/>
      <c r="B441" s="4"/>
      <c r="C441" s="4"/>
      <c r="D441" s="4"/>
      <c r="E441" s="4"/>
      <c r="F441" s="4"/>
    </row>
    <row r="442" ht="15.75" customHeight="1">
      <c r="A442" s="4"/>
      <c r="B442" s="4"/>
      <c r="C442" s="4"/>
      <c r="D442" s="4"/>
      <c r="E442" s="4"/>
      <c r="F442" s="4"/>
    </row>
    <row r="443" ht="15.75" customHeight="1">
      <c r="A443" s="4"/>
      <c r="B443" s="4"/>
      <c r="C443" s="4"/>
      <c r="D443" s="4"/>
      <c r="E443" s="4"/>
      <c r="F443" s="4"/>
    </row>
    <row r="444" ht="15.75" customHeight="1">
      <c r="A444" s="4"/>
      <c r="B444" s="4"/>
      <c r="C444" s="4"/>
      <c r="D444" s="4"/>
      <c r="E444" s="4"/>
      <c r="F444" s="4"/>
    </row>
    <row r="445" ht="15.75" customHeight="1">
      <c r="A445" s="4"/>
      <c r="B445" s="4"/>
      <c r="C445" s="4"/>
      <c r="D445" s="4"/>
      <c r="E445" s="4"/>
      <c r="F445" s="4"/>
    </row>
    <row r="446" ht="15.75" customHeight="1">
      <c r="A446" s="4"/>
      <c r="B446" s="4"/>
      <c r="C446" s="4"/>
      <c r="D446" s="4"/>
      <c r="E446" s="4"/>
      <c r="F446" s="4"/>
    </row>
    <row r="447" ht="15.75" customHeight="1">
      <c r="A447" s="4"/>
      <c r="B447" s="4"/>
      <c r="C447" s="4"/>
      <c r="D447" s="4"/>
      <c r="E447" s="4"/>
      <c r="F447" s="4"/>
    </row>
    <row r="448" ht="15.75" customHeight="1">
      <c r="A448" s="4"/>
      <c r="B448" s="4"/>
      <c r="C448" s="4"/>
      <c r="D448" s="4"/>
      <c r="E448" s="4"/>
      <c r="F448" s="4"/>
    </row>
    <row r="449" ht="15.75" customHeight="1">
      <c r="A449" s="4"/>
      <c r="B449" s="4"/>
      <c r="C449" s="4"/>
      <c r="D449" s="4"/>
      <c r="E449" s="4"/>
      <c r="F449" s="4"/>
    </row>
    <row r="450" ht="15.75" customHeight="1">
      <c r="A450" s="4"/>
      <c r="B450" s="4"/>
      <c r="C450" s="4"/>
      <c r="D450" s="4"/>
      <c r="E450" s="4"/>
      <c r="F450" s="4"/>
    </row>
    <row r="451" ht="15.75" customHeight="1">
      <c r="A451" s="4"/>
      <c r="B451" s="4"/>
      <c r="C451" s="4"/>
      <c r="D451" s="4"/>
      <c r="E451" s="4"/>
      <c r="F451" s="4"/>
    </row>
    <row r="452" ht="15.75" customHeight="1">
      <c r="A452" s="4"/>
      <c r="B452" s="4"/>
      <c r="C452" s="4"/>
      <c r="D452" s="4"/>
      <c r="E452" s="4"/>
      <c r="F452" s="4"/>
    </row>
    <row r="453" ht="15.75" customHeight="1">
      <c r="A453" s="4"/>
      <c r="B453" s="4"/>
      <c r="C453" s="4"/>
      <c r="D453" s="4"/>
      <c r="E453" s="4"/>
      <c r="F453" s="4"/>
    </row>
    <row r="454" ht="15.75" customHeight="1">
      <c r="A454" s="4"/>
      <c r="B454" s="4"/>
      <c r="C454" s="4"/>
      <c r="D454" s="4"/>
      <c r="E454" s="4"/>
      <c r="F454" s="4"/>
    </row>
    <row r="455" ht="15.75" customHeight="1">
      <c r="A455" s="4"/>
      <c r="B455" s="4"/>
      <c r="C455" s="4"/>
      <c r="D455" s="4"/>
      <c r="E455" s="4"/>
      <c r="F455" s="4"/>
    </row>
    <row r="456" ht="15.75" customHeight="1">
      <c r="A456" s="4"/>
      <c r="B456" s="4"/>
      <c r="C456" s="4"/>
      <c r="D456" s="4"/>
      <c r="E456" s="4"/>
      <c r="F456" s="4"/>
    </row>
    <row r="457" ht="15.75" customHeight="1">
      <c r="A457" s="4"/>
      <c r="B457" s="4"/>
      <c r="C457" s="4"/>
      <c r="D457" s="4"/>
      <c r="E457" s="4"/>
      <c r="F457" s="4"/>
    </row>
    <row r="458" ht="15.75" customHeight="1">
      <c r="A458" s="4"/>
      <c r="B458" s="4"/>
      <c r="C458" s="4"/>
      <c r="D458" s="4"/>
      <c r="E458" s="4"/>
      <c r="F458" s="4"/>
    </row>
    <row r="459" ht="15.75" customHeight="1">
      <c r="A459" s="4"/>
      <c r="B459" s="4"/>
      <c r="C459" s="4"/>
      <c r="D459" s="4"/>
      <c r="E459" s="4"/>
      <c r="F459" s="4"/>
    </row>
    <row r="460" ht="15.75" customHeight="1">
      <c r="A460" s="4"/>
      <c r="B460" s="4"/>
      <c r="C460" s="4"/>
      <c r="D460" s="4"/>
      <c r="E460" s="4"/>
      <c r="F460" s="4"/>
    </row>
    <row r="461" ht="15.75" customHeight="1">
      <c r="A461" s="4"/>
      <c r="B461" s="4"/>
      <c r="C461" s="4"/>
      <c r="D461" s="4"/>
      <c r="E461" s="4"/>
      <c r="F461" s="4"/>
    </row>
    <row r="462" ht="15.75" customHeight="1">
      <c r="A462" s="4"/>
      <c r="B462" s="4"/>
      <c r="C462" s="4"/>
      <c r="D462" s="4"/>
      <c r="E462" s="4"/>
      <c r="F462" s="4"/>
    </row>
    <row r="463" ht="15.75" customHeight="1">
      <c r="A463" s="4"/>
      <c r="B463" s="4"/>
      <c r="C463" s="4"/>
      <c r="D463" s="4"/>
      <c r="E463" s="4"/>
      <c r="F463" s="4"/>
    </row>
    <row r="464" ht="15.75" customHeight="1">
      <c r="A464" s="4"/>
      <c r="B464" s="4"/>
      <c r="C464" s="4"/>
      <c r="D464" s="4"/>
      <c r="E464" s="4"/>
      <c r="F464" s="4"/>
    </row>
    <row r="465" ht="15.75" customHeight="1">
      <c r="A465" s="4"/>
      <c r="B465" s="4"/>
      <c r="C465" s="4"/>
      <c r="D465" s="4"/>
      <c r="E465" s="4"/>
      <c r="F465" s="4"/>
    </row>
    <row r="466" ht="15.75" customHeight="1">
      <c r="A466" s="4"/>
      <c r="B466" s="4"/>
      <c r="C466" s="4"/>
      <c r="D466" s="4"/>
      <c r="E466" s="4"/>
      <c r="F466" s="4"/>
    </row>
    <row r="467" ht="15.75" customHeight="1">
      <c r="A467" s="4"/>
      <c r="B467" s="4"/>
      <c r="C467" s="4"/>
      <c r="D467" s="4"/>
      <c r="E467" s="4"/>
      <c r="F467" s="4"/>
    </row>
    <row r="468" ht="15.75" customHeight="1">
      <c r="A468" s="4"/>
      <c r="B468" s="4"/>
      <c r="C468" s="4"/>
      <c r="D468" s="4"/>
      <c r="E468" s="4"/>
      <c r="F468" s="4"/>
    </row>
    <row r="469" ht="15.75" customHeight="1">
      <c r="A469" s="4"/>
      <c r="B469" s="4"/>
      <c r="C469" s="4"/>
      <c r="D469" s="4"/>
      <c r="E469" s="4"/>
      <c r="F469" s="4"/>
    </row>
    <row r="470" ht="15.75" customHeight="1">
      <c r="A470" s="4"/>
      <c r="B470" s="4"/>
      <c r="C470" s="4"/>
      <c r="D470" s="4"/>
      <c r="E470" s="4"/>
      <c r="F470" s="4"/>
    </row>
    <row r="471" ht="15.75" customHeight="1">
      <c r="A471" s="4"/>
      <c r="B471" s="4"/>
      <c r="C471" s="4"/>
      <c r="D471" s="4"/>
      <c r="E471" s="4"/>
      <c r="F471" s="4"/>
    </row>
    <row r="472" ht="15.75" customHeight="1">
      <c r="A472" s="4"/>
      <c r="B472" s="4"/>
      <c r="C472" s="4"/>
      <c r="D472" s="4"/>
      <c r="E472" s="4"/>
      <c r="F472" s="4"/>
    </row>
    <row r="473" ht="15.75" customHeight="1">
      <c r="A473" s="4"/>
      <c r="B473" s="4"/>
      <c r="C473" s="4"/>
      <c r="D473" s="4"/>
      <c r="E473" s="4"/>
      <c r="F473" s="4"/>
    </row>
    <row r="474" ht="15.75" customHeight="1">
      <c r="A474" s="4"/>
      <c r="B474" s="4"/>
      <c r="C474" s="4"/>
      <c r="D474" s="4"/>
      <c r="E474" s="4"/>
      <c r="F474" s="4"/>
    </row>
    <row r="475" ht="15.75" customHeight="1">
      <c r="A475" s="4"/>
      <c r="B475" s="4"/>
      <c r="C475" s="4"/>
      <c r="D475" s="4"/>
      <c r="E475" s="4"/>
      <c r="F475" s="4"/>
    </row>
    <row r="476" ht="15.75" customHeight="1">
      <c r="A476" s="4"/>
      <c r="B476" s="4"/>
      <c r="C476" s="4"/>
      <c r="D476" s="4"/>
      <c r="E476" s="4"/>
      <c r="F476" s="4"/>
    </row>
    <row r="477" ht="15.75" customHeight="1">
      <c r="A477" s="4"/>
      <c r="B477" s="4"/>
      <c r="C477" s="4"/>
      <c r="D477" s="4"/>
      <c r="E477" s="4"/>
      <c r="F477" s="4"/>
    </row>
    <row r="478" ht="15.75" customHeight="1">
      <c r="A478" s="4"/>
      <c r="B478" s="4"/>
      <c r="C478" s="4"/>
      <c r="D478" s="4"/>
      <c r="E478" s="4"/>
      <c r="F478" s="4"/>
    </row>
    <row r="479" ht="15.75" customHeight="1">
      <c r="A479" s="4"/>
      <c r="B479" s="4"/>
      <c r="C479" s="4"/>
      <c r="D479" s="4"/>
      <c r="E479" s="4"/>
      <c r="F479" s="4"/>
    </row>
    <row r="480" ht="15.75" customHeight="1">
      <c r="A480" s="4"/>
      <c r="B480" s="4"/>
      <c r="C480" s="4"/>
      <c r="D480" s="4"/>
      <c r="E480" s="4"/>
      <c r="F480" s="4"/>
    </row>
    <row r="481" ht="15.75" customHeight="1">
      <c r="A481" s="4"/>
      <c r="B481" s="4"/>
      <c r="C481" s="4"/>
      <c r="D481" s="4"/>
      <c r="E481" s="4"/>
      <c r="F481" s="4"/>
    </row>
    <row r="482" ht="15.75" customHeight="1">
      <c r="A482" s="4"/>
      <c r="B482" s="4"/>
      <c r="C482" s="4"/>
      <c r="D482" s="4"/>
      <c r="E482" s="4"/>
      <c r="F482" s="4"/>
    </row>
    <row r="483" ht="15.75" customHeight="1">
      <c r="A483" s="4"/>
      <c r="B483" s="4"/>
      <c r="C483" s="4"/>
      <c r="D483" s="4"/>
      <c r="E483" s="4"/>
      <c r="F483" s="4"/>
    </row>
    <row r="484" ht="15.75" customHeight="1">
      <c r="A484" s="4"/>
      <c r="B484" s="4"/>
      <c r="C484" s="4"/>
      <c r="D484" s="4"/>
      <c r="E484" s="4"/>
      <c r="F484" s="4"/>
    </row>
    <row r="485" ht="15.75" customHeight="1">
      <c r="A485" s="4"/>
      <c r="B485" s="4"/>
      <c r="C485" s="4"/>
      <c r="D485" s="4"/>
      <c r="E485" s="4"/>
      <c r="F485" s="4"/>
    </row>
    <row r="486" ht="15.75" customHeight="1">
      <c r="A486" s="4"/>
      <c r="B486" s="4"/>
      <c r="C486" s="4"/>
      <c r="D486" s="4"/>
      <c r="E486" s="4"/>
      <c r="F486" s="4"/>
    </row>
    <row r="487" ht="15.75" customHeight="1">
      <c r="A487" s="4"/>
      <c r="B487" s="4"/>
      <c r="C487" s="4"/>
      <c r="D487" s="4"/>
      <c r="E487" s="4"/>
      <c r="F487" s="4"/>
    </row>
    <row r="488" ht="15.75" customHeight="1">
      <c r="A488" s="4"/>
      <c r="B488" s="4"/>
      <c r="C488" s="4"/>
      <c r="D488" s="4"/>
      <c r="E488" s="4"/>
      <c r="F488" s="4"/>
    </row>
    <row r="489" ht="15.75" customHeight="1">
      <c r="A489" s="4"/>
      <c r="B489" s="4"/>
      <c r="C489" s="4"/>
      <c r="D489" s="4"/>
      <c r="E489" s="4"/>
      <c r="F489" s="4"/>
    </row>
    <row r="490" ht="15.75" customHeight="1">
      <c r="A490" s="4"/>
      <c r="B490" s="4"/>
      <c r="C490" s="4"/>
      <c r="D490" s="4"/>
      <c r="E490" s="4"/>
      <c r="F490" s="4"/>
    </row>
    <row r="491" ht="15.75" customHeight="1">
      <c r="A491" s="4"/>
      <c r="B491" s="4"/>
      <c r="C491" s="4"/>
      <c r="D491" s="4"/>
      <c r="E491" s="4"/>
      <c r="F491" s="4"/>
    </row>
    <row r="492" ht="15.75" customHeight="1">
      <c r="A492" s="4"/>
      <c r="B492" s="4"/>
      <c r="C492" s="4"/>
      <c r="D492" s="4"/>
      <c r="E492" s="4"/>
      <c r="F492" s="4"/>
    </row>
    <row r="493" ht="15.75" customHeight="1">
      <c r="A493" s="4"/>
      <c r="B493" s="4"/>
      <c r="C493" s="4"/>
      <c r="D493" s="4"/>
      <c r="E493" s="4"/>
      <c r="F493" s="4"/>
    </row>
    <row r="494" ht="15.75" customHeight="1">
      <c r="A494" s="4"/>
      <c r="B494" s="4"/>
      <c r="C494" s="4"/>
      <c r="D494" s="4"/>
      <c r="E494" s="4"/>
      <c r="F494" s="4"/>
    </row>
    <row r="495" ht="15.75" customHeight="1">
      <c r="A495" s="4"/>
      <c r="B495" s="4"/>
      <c r="C495" s="4"/>
      <c r="D495" s="4"/>
      <c r="E495" s="4"/>
      <c r="F495" s="4"/>
    </row>
    <row r="496" ht="15.75" customHeight="1">
      <c r="A496" s="4"/>
      <c r="B496" s="4"/>
      <c r="C496" s="4"/>
      <c r="D496" s="4"/>
      <c r="E496" s="4"/>
      <c r="F496" s="4"/>
    </row>
    <row r="497" ht="15.75" customHeight="1">
      <c r="A497" s="4"/>
      <c r="B497" s="4"/>
      <c r="C497" s="4"/>
      <c r="D497" s="4"/>
      <c r="E497" s="4"/>
      <c r="F497" s="4"/>
    </row>
    <row r="498" ht="15.75" customHeight="1">
      <c r="A498" s="4"/>
      <c r="B498" s="4"/>
      <c r="C498" s="4"/>
      <c r="D498" s="4"/>
      <c r="E498" s="4"/>
      <c r="F498" s="4"/>
    </row>
    <row r="499" ht="15.75" customHeight="1">
      <c r="A499" s="4"/>
      <c r="B499" s="4"/>
      <c r="C499" s="4"/>
      <c r="D499" s="4"/>
      <c r="E499" s="4"/>
      <c r="F499" s="4"/>
    </row>
    <row r="500" ht="15.75" customHeight="1">
      <c r="A500" s="4"/>
      <c r="B500" s="4"/>
      <c r="C500" s="4"/>
      <c r="D500" s="4"/>
      <c r="E500" s="4"/>
      <c r="F500" s="4"/>
    </row>
    <row r="501" ht="15.75" customHeight="1">
      <c r="A501" s="4"/>
      <c r="B501" s="4"/>
      <c r="C501" s="4"/>
      <c r="D501" s="4"/>
      <c r="E501" s="4"/>
      <c r="F501" s="4"/>
    </row>
    <row r="502" ht="15.75" customHeight="1">
      <c r="A502" s="4"/>
      <c r="B502" s="4"/>
      <c r="C502" s="4"/>
      <c r="D502" s="4"/>
      <c r="E502" s="4"/>
      <c r="F502" s="4"/>
    </row>
    <row r="503" ht="15.75" customHeight="1">
      <c r="A503" s="4"/>
      <c r="B503" s="4"/>
      <c r="C503" s="4"/>
      <c r="D503" s="4"/>
      <c r="E503" s="4"/>
      <c r="F503" s="4"/>
    </row>
    <row r="504" ht="15.75" customHeight="1">
      <c r="A504" s="4"/>
      <c r="B504" s="4"/>
      <c r="C504" s="4"/>
      <c r="D504" s="4"/>
      <c r="E504" s="4"/>
      <c r="F504" s="4"/>
    </row>
    <row r="505" ht="15.75" customHeight="1">
      <c r="A505" s="4"/>
      <c r="B505" s="4"/>
      <c r="C505" s="4"/>
      <c r="D505" s="4"/>
      <c r="E505" s="4"/>
      <c r="F505" s="4"/>
    </row>
    <row r="506" ht="15.75" customHeight="1">
      <c r="A506" s="4"/>
      <c r="B506" s="4"/>
      <c r="C506" s="4"/>
      <c r="D506" s="4"/>
      <c r="E506" s="4"/>
      <c r="F506" s="4"/>
    </row>
    <row r="507" ht="15.75" customHeight="1">
      <c r="A507" s="4"/>
      <c r="B507" s="4"/>
      <c r="C507" s="4"/>
      <c r="D507" s="4"/>
      <c r="E507" s="4"/>
      <c r="F507" s="4"/>
    </row>
    <row r="508" ht="15.75" customHeight="1">
      <c r="A508" s="4"/>
      <c r="B508" s="4"/>
      <c r="C508" s="4"/>
      <c r="D508" s="4"/>
      <c r="E508" s="4"/>
      <c r="F508" s="4"/>
    </row>
    <row r="509" ht="15.75" customHeight="1">
      <c r="A509" s="4"/>
      <c r="B509" s="4"/>
      <c r="C509" s="4"/>
      <c r="D509" s="4"/>
      <c r="E509" s="4"/>
      <c r="F509" s="4"/>
    </row>
    <row r="510" ht="15.75" customHeight="1">
      <c r="A510" s="4"/>
      <c r="B510" s="4"/>
      <c r="C510" s="4"/>
      <c r="D510" s="4"/>
      <c r="E510" s="4"/>
      <c r="F510" s="4"/>
    </row>
    <row r="511" ht="15.75" customHeight="1">
      <c r="A511" s="4"/>
      <c r="B511" s="4"/>
      <c r="C511" s="4"/>
      <c r="D511" s="4"/>
      <c r="E511" s="4"/>
      <c r="F511" s="4"/>
    </row>
    <row r="512" ht="15.75" customHeight="1">
      <c r="A512" s="4"/>
      <c r="B512" s="4"/>
      <c r="C512" s="4"/>
      <c r="D512" s="4"/>
      <c r="E512" s="4"/>
      <c r="F512" s="4"/>
    </row>
    <row r="513" ht="15.75" customHeight="1">
      <c r="A513" s="4"/>
      <c r="B513" s="4"/>
      <c r="C513" s="4"/>
      <c r="D513" s="4"/>
      <c r="E513" s="4"/>
      <c r="F513" s="4"/>
    </row>
    <row r="514" ht="15.75" customHeight="1">
      <c r="A514" s="4"/>
      <c r="B514" s="4"/>
      <c r="C514" s="4"/>
      <c r="D514" s="4"/>
      <c r="E514" s="4"/>
      <c r="F514" s="4"/>
    </row>
    <row r="515" ht="15.75" customHeight="1">
      <c r="A515" s="4"/>
      <c r="B515" s="4"/>
      <c r="C515" s="4"/>
      <c r="D515" s="4"/>
      <c r="E515" s="4"/>
      <c r="F515" s="4"/>
    </row>
    <row r="516" ht="15.75" customHeight="1">
      <c r="A516" s="4"/>
      <c r="B516" s="4"/>
      <c r="C516" s="4"/>
      <c r="D516" s="4"/>
      <c r="E516" s="4"/>
      <c r="F516" s="4"/>
    </row>
    <row r="517" ht="15.75" customHeight="1">
      <c r="A517" s="4"/>
      <c r="B517" s="4"/>
      <c r="C517" s="4"/>
      <c r="D517" s="4"/>
      <c r="E517" s="4"/>
      <c r="F517" s="4"/>
    </row>
    <row r="518" ht="15.75" customHeight="1">
      <c r="A518" s="4"/>
      <c r="B518" s="4"/>
      <c r="C518" s="4"/>
      <c r="D518" s="4"/>
      <c r="E518" s="4"/>
      <c r="F518" s="4"/>
    </row>
    <row r="519" ht="15.75" customHeight="1">
      <c r="A519" s="4"/>
      <c r="B519" s="4"/>
      <c r="C519" s="4"/>
      <c r="D519" s="4"/>
      <c r="E519" s="4"/>
      <c r="F519" s="4"/>
    </row>
    <row r="520" ht="15.75" customHeight="1">
      <c r="A520" s="4"/>
      <c r="B520" s="4"/>
      <c r="C520" s="4"/>
      <c r="D520" s="4"/>
      <c r="E520" s="4"/>
      <c r="F520" s="4"/>
    </row>
    <row r="521" ht="15.75" customHeight="1">
      <c r="A521" s="4"/>
      <c r="B521" s="4"/>
      <c r="C521" s="4"/>
      <c r="D521" s="4"/>
      <c r="E521" s="4"/>
      <c r="F521" s="4"/>
    </row>
    <row r="522" ht="15.75" customHeight="1">
      <c r="A522" s="4"/>
      <c r="B522" s="4"/>
      <c r="C522" s="4"/>
      <c r="D522" s="4"/>
      <c r="E522" s="4"/>
      <c r="F522" s="4"/>
    </row>
    <row r="523" ht="15.75" customHeight="1">
      <c r="A523" s="4"/>
      <c r="B523" s="4"/>
      <c r="C523" s="4"/>
      <c r="D523" s="4"/>
      <c r="E523" s="4"/>
      <c r="F523" s="4"/>
    </row>
    <row r="524" ht="15.75" customHeight="1">
      <c r="A524" s="4"/>
      <c r="B524" s="4"/>
      <c r="C524" s="4"/>
      <c r="D524" s="4"/>
      <c r="E524" s="4"/>
      <c r="F524" s="4"/>
    </row>
    <row r="525" ht="15.75" customHeight="1">
      <c r="A525" s="4"/>
      <c r="B525" s="4"/>
      <c r="C525" s="4"/>
      <c r="D525" s="4"/>
      <c r="E525" s="4"/>
      <c r="F525" s="4"/>
    </row>
    <row r="526" ht="15.75" customHeight="1">
      <c r="A526" s="4"/>
      <c r="B526" s="4"/>
      <c r="C526" s="4"/>
      <c r="D526" s="4"/>
      <c r="E526" s="4"/>
      <c r="F526" s="4"/>
    </row>
    <row r="527" ht="15.75" customHeight="1">
      <c r="A527" s="4"/>
      <c r="B527" s="4"/>
      <c r="C527" s="4"/>
      <c r="D527" s="4"/>
      <c r="E527" s="4"/>
      <c r="F527" s="4"/>
    </row>
    <row r="528" ht="15.75" customHeight="1">
      <c r="A528" s="4"/>
      <c r="B528" s="4"/>
      <c r="C528" s="4"/>
      <c r="D528" s="4"/>
      <c r="E528" s="4"/>
      <c r="F528" s="4"/>
    </row>
    <row r="529" ht="15.75" customHeight="1">
      <c r="A529" s="4"/>
      <c r="B529" s="4"/>
      <c r="C529" s="4"/>
      <c r="D529" s="4"/>
      <c r="E529" s="4"/>
      <c r="F529" s="4"/>
    </row>
    <row r="530" ht="15.75" customHeight="1">
      <c r="A530" s="4"/>
      <c r="B530" s="4"/>
      <c r="C530" s="4"/>
      <c r="D530" s="4"/>
      <c r="E530" s="4"/>
      <c r="F530" s="4"/>
    </row>
    <row r="531" ht="15.75" customHeight="1">
      <c r="A531" s="4"/>
      <c r="B531" s="4"/>
      <c r="C531" s="4"/>
      <c r="D531" s="4"/>
      <c r="E531" s="4"/>
      <c r="F531" s="4"/>
    </row>
    <row r="532" ht="15.75" customHeight="1">
      <c r="A532" s="4"/>
      <c r="B532" s="4"/>
      <c r="C532" s="4"/>
      <c r="D532" s="4"/>
      <c r="E532" s="4"/>
      <c r="F532" s="4"/>
    </row>
    <row r="533" ht="15.75" customHeight="1">
      <c r="A533" s="4"/>
      <c r="B533" s="4"/>
      <c r="C533" s="4"/>
      <c r="D533" s="4"/>
      <c r="E533" s="4"/>
      <c r="F533" s="4"/>
    </row>
    <row r="534" ht="15.75" customHeight="1">
      <c r="A534" s="4"/>
      <c r="B534" s="4"/>
      <c r="C534" s="4"/>
      <c r="D534" s="4"/>
      <c r="E534" s="4"/>
      <c r="F534" s="4"/>
    </row>
    <row r="535" ht="15.75" customHeight="1">
      <c r="A535" s="4"/>
      <c r="B535" s="4"/>
      <c r="C535" s="4"/>
      <c r="D535" s="4"/>
      <c r="E535" s="4"/>
      <c r="F535" s="4"/>
    </row>
    <row r="536" ht="15.75" customHeight="1">
      <c r="A536" s="4"/>
      <c r="B536" s="4"/>
      <c r="C536" s="4"/>
      <c r="D536" s="4"/>
      <c r="E536" s="4"/>
      <c r="F536" s="4"/>
    </row>
    <row r="537" ht="15.75" customHeight="1">
      <c r="A537" s="4"/>
      <c r="B537" s="4"/>
      <c r="C537" s="4"/>
      <c r="D537" s="4"/>
      <c r="E537" s="4"/>
      <c r="F537" s="4"/>
    </row>
    <row r="538" ht="15.75" customHeight="1">
      <c r="A538" s="4"/>
      <c r="B538" s="4"/>
      <c r="C538" s="4"/>
      <c r="D538" s="4"/>
      <c r="E538" s="4"/>
      <c r="F538" s="4"/>
    </row>
    <row r="539" ht="15.75" customHeight="1">
      <c r="A539" s="4"/>
      <c r="B539" s="4"/>
      <c r="C539" s="4"/>
      <c r="D539" s="4"/>
      <c r="E539" s="4"/>
      <c r="F539" s="4"/>
    </row>
    <row r="540" ht="15.75" customHeight="1">
      <c r="A540" s="4"/>
      <c r="B540" s="4"/>
      <c r="C540" s="4"/>
      <c r="D540" s="4"/>
      <c r="E540" s="4"/>
      <c r="F540" s="4"/>
    </row>
    <row r="541" ht="15.75" customHeight="1">
      <c r="A541" s="4"/>
      <c r="B541" s="4"/>
      <c r="C541" s="4"/>
      <c r="D541" s="4"/>
      <c r="E541" s="4"/>
      <c r="F541" s="4"/>
    </row>
    <row r="542" ht="15.75" customHeight="1">
      <c r="A542" s="4"/>
      <c r="B542" s="4"/>
      <c r="C542" s="4"/>
      <c r="D542" s="4"/>
      <c r="E542" s="4"/>
      <c r="F542" s="4"/>
    </row>
    <row r="543" ht="15.75" customHeight="1">
      <c r="A543" s="4"/>
      <c r="B543" s="4"/>
      <c r="C543" s="4"/>
      <c r="D543" s="4"/>
      <c r="E543" s="4"/>
      <c r="F543" s="4"/>
    </row>
    <row r="544" ht="15.75" customHeight="1">
      <c r="A544" s="4"/>
      <c r="B544" s="4"/>
      <c r="C544" s="4"/>
      <c r="D544" s="4"/>
      <c r="E544" s="4"/>
      <c r="F544" s="4"/>
    </row>
    <row r="545" ht="15.75" customHeight="1">
      <c r="A545" s="4"/>
      <c r="B545" s="4"/>
      <c r="C545" s="4"/>
      <c r="D545" s="4"/>
      <c r="E545" s="4"/>
      <c r="F545" s="4"/>
    </row>
    <row r="546" ht="15.75" customHeight="1">
      <c r="A546" s="4"/>
      <c r="B546" s="4"/>
      <c r="C546" s="4"/>
      <c r="D546" s="4"/>
      <c r="E546" s="4"/>
      <c r="F546" s="4"/>
    </row>
    <row r="547" ht="15.75" customHeight="1">
      <c r="A547" s="4"/>
      <c r="B547" s="4"/>
      <c r="C547" s="4"/>
      <c r="D547" s="4"/>
      <c r="E547" s="4"/>
      <c r="F547" s="4"/>
    </row>
    <row r="548" ht="15.75" customHeight="1">
      <c r="A548" s="4"/>
      <c r="B548" s="4"/>
      <c r="C548" s="4"/>
      <c r="D548" s="4"/>
      <c r="E548" s="4"/>
      <c r="F548" s="4"/>
    </row>
    <row r="549" ht="15.75" customHeight="1">
      <c r="A549" s="4"/>
      <c r="B549" s="4"/>
      <c r="C549" s="4"/>
      <c r="D549" s="4"/>
      <c r="E549" s="4"/>
      <c r="F549" s="4"/>
    </row>
    <row r="550" ht="15.75" customHeight="1">
      <c r="A550" s="4"/>
      <c r="B550" s="4"/>
      <c r="C550" s="4"/>
      <c r="D550" s="4"/>
      <c r="E550" s="4"/>
      <c r="F550" s="4"/>
    </row>
    <row r="551" ht="15.75" customHeight="1">
      <c r="A551" s="4"/>
      <c r="B551" s="4"/>
      <c r="C551" s="4"/>
      <c r="D551" s="4"/>
      <c r="E551" s="4"/>
      <c r="F551" s="4"/>
    </row>
    <row r="552" ht="15.75" customHeight="1">
      <c r="A552" s="4"/>
      <c r="B552" s="4"/>
      <c r="C552" s="4"/>
      <c r="D552" s="4"/>
      <c r="E552" s="4"/>
      <c r="F552" s="4"/>
    </row>
    <row r="553" ht="15.75" customHeight="1">
      <c r="A553" s="4"/>
      <c r="B553" s="4"/>
      <c r="C553" s="4"/>
      <c r="D553" s="4"/>
      <c r="E553" s="4"/>
      <c r="F553" s="4"/>
    </row>
    <row r="554" ht="15.75" customHeight="1">
      <c r="A554" s="4"/>
      <c r="B554" s="4"/>
      <c r="C554" s="4"/>
      <c r="D554" s="4"/>
      <c r="E554" s="4"/>
      <c r="F554" s="4"/>
    </row>
    <row r="555" ht="15.75" customHeight="1">
      <c r="A555" s="4"/>
      <c r="B555" s="4"/>
      <c r="C555" s="4"/>
      <c r="D555" s="4"/>
      <c r="E555" s="4"/>
      <c r="F555" s="4"/>
    </row>
    <row r="556" ht="15.75" customHeight="1">
      <c r="A556" s="4"/>
      <c r="B556" s="4"/>
      <c r="C556" s="4"/>
      <c r="D556" s="4"/>
      <c r="E556" s="4"/>
      <c r="F556" s="4"/>
    </row>
    <row r="557" ht="15.75" customHeight="1">
      <c r="A557" s="4"/>
      <c r="B557" s="4"/>
      <c r="C557" s="4"/>
      <c r="D557" s="4"/>
      <c r="E557" s="4"/>
      <c r="F557" s="4"/>
    </row>
    <row r="558" ht="15.75" customHeight="1">
      <c r="A558" s="4"/>
      <c r="B558" s="4"/>
      <c r="C558" s="4"/>
      <c r="D558" s="4"/>
      <c r="E558" s="4"/>
      <c r="F558" s="4"/>
    </row>
    <row r="559" ht="15.75" customHeight="1">
      <c r="A559" s="4"/>
      <c r="B559" s="4"/>
      <c r="C559" s="4"/>
      <c r="D559" s="4"/>
      <c r="E559" s="4"/>
      <c r="F559" s="4"/>
    </row>
    <row r="560" ht="15.75" customHeight="1">
      <c r="A560" s="4"/>
      <c r="B560" s="4"/>
      <c r="C560" s="4"/>
      <c r="D560" s="4"/>
      <c r="E560" s="4"/>
      <c r="F560" s="4"/>
    </row>
    <row r="561" ht="15.75" customHeight="1">
      <c r="A561" s="4"/>
      <c r="B561" s="4"/>
      <c r="C561" s="4"/>
      <c r="D561" s="4"/>
      <c r="E561" s="4"/>
      <c r="F561" s="4"/>
    </row>
    <row r="562" ht="15.75" customHeight="1">
      <c r="A562" s="4"/>
      <c r="B562" s="4"/>
      <c r="C562" s="4"/>
      <c r="D562" s="4"/>
      <c r="E562" s="4"/>
      <c r="F562" s="4"/>
    </row>
    <row r="563" ht="15.75" customHeight="1">
      <c r="A563" s="4"/>
      <c r="B563" s="4"/>
      <c r="C563" s="4"/>
      <c r="D563" s="4"/>
      <c r="E563" s="4"/>
      <c r="F563" s="4"/>
    </row>
    <row r="564" ht="15.75" customHeight="1">
      <c r="A564" s="4"/>
      <c r="B564" s="4"/>
      <c r="C564" s="4"/>
      <c r="D564" s="4"/>
      <c r="E564" s="4"/>
      <c r="F564" s="4"/>
    </row>
    <row r="565" ht="15.75" customHeight="1">
      <c r="A565" s="4"/>
      <c r="B565" s="4"/>
      <c r="C565" s="4"/>
      <c r="D565" s="4"/>
      <c r="E565" s="4"/>
      <c r="F565" s="4"/>
    </row>
    <row r="566" ht="15.75" customHeight="1">
      <c r="A566" s="4"/>
      <c r="B566" s="4"/>
      <c r="C566" s="4"/>
      <c r="D566" s="4"/>
      <c r="E566" s="4"/>
      <c r="F566" s="4"/>
    </row>
    <row r="567" ht="15.75" customHeight="1">
      <c r="A567" s="4"/>
      <c r="B567" s="4"/>
      <c r="C567" s="4"/>
      <c r="D567" s="4"/>
      <c r="E567" s="4"/>
      <c r="F567" s="4"/>
    </row>
    <row r="568" ht="15.75" customHeight="1">
      <c r="A568" s="4"/>
      <c r="B568" s="4"/>
      <c r="C568" s="4"/>
      <c r="D568" s="4"/>
      <c r="E568" s="4"/>
      <c r="F568" s="4"/>
    </row>
    <row r="569" ht="15.75" customHeight="1">
      <c r="A569" s="4"/>
      <c r="B569" s="4"/>
      <c r="C569" s="4"/>
      <c r="D569" s="4"/>
      <c r="E569" s="4"/>
      <c r="F569" s="4"/>
    </row>
    <row r="570" ht="15.75" customHeight="1">
      <c r="A570" s="4"/>
      <c r="B570" s="4"/>
      <c r="C570" s="4"/>
      <c r="D570" s="4"/>
      <c r="E570" s="4"/>
      <c r="F570" s="4"/>
    </row>
    <row r="571" ht="15.75" customHeight="1">
      <c r="A571" s="4"/>
      <c r="B571" s="4"/>
      <c r="C571" s="4"/>
      <c r="D571" s="4"/>
      <c r="E571" s="4"/>
      <c r="F571" s="4"/>
    </row>
    <row r="572" ht="15.75" customHeight="1">
      <c r="A572" s="4"/>
      <c r="B572" s="4"/>
      <c r="C572" s="4"/>
      <c r="D572" s="4"/>
      <c r="E572" s="4"/>
      <c r="F572" s="4"/>
    </row>
    <row r="573" ht="15.75" customHeight="1">
      <c r="A573" s="4"/>
      <c r="B573" s="4"/>
      <c r="C573" s="4"/>
      <c r="D573" s="4"/>
      <c r="E573" s="4"/>
      <c r="F573" s="4"/>
    </row>
    <row r="574" ht="15.75" customHeight="1">
      <c r="A574" s="4"/>
      <c r="B574" s="4"/>
      <c r="C574" s="4"/>
      <c r="D574" s="4"/>
      <c r="E574" s="4"/>
      <c r="F574" s="4"/>
    </row>
    <row r="575" ht="15.75" customHeight="1">
      <c r="A575" s="4"/>
      <c r="B575" s="4"/>
      <c r="C575" s="4"/>
      <c r="D575" s="4"/>
      <c r="E575" s="4"/>
      <c r="F575" s="4"/>
    </row>
    <row r="576" ht="15.75" customHeight="1">
      <c r="A576" s="4"/>
      <c r="B576" s="4"/>
      <c r="C576" s="4"/>
      <c r="D576" s="4"/>
      <c r="E576" s="4"/>
      <c r="F576" s="4"/>
    </row>
    <row r="577" ht="15.75" customHeight="1">
      <c r="A577" s="4"/>
      <c r="B577" s="4"/>
      <c r="C577" s="4"/>
      <c r="D577" s="4"/>
      <c r="E577" s="4"/>
      <c r="F577" s="4"/>
    </row>
    <row r="578" ht="15.75" customHeight="1">
      <c r="A578" s="4"/>
      <c r="B578" s="4"/>
      <c r="C578" s="4"/>
      <c r="D578" s="4"/>
      <c r="E578" s="4"/>
      <c r="F578" s="4"/>
    </row>
    <row r="579" ht="15.75" customHeight="1">
      <c r="A579" s="4"/>
      <c r="B579" s="4"/>
      <c r="C579" s="4"/>
      <c r="D579" s="4"/>
      <c r="E579" s="4"/>
      <c r="F579" s="4"/>
    </row>
    <row r="580" ht="15.75" customHeight="1">
      <c r="A580" s="4"/>
      <c r="B580" s="4"/>
      <c r="C580" s="4"/>
      <c r="D580" s="4"/>
      <c r="E580" s="4"/>
      <c r="F580" s="4"/>
    </row>
    <row r="581" ht="15.75" customHeight="1">
      <c r="A581" s="4"/>
      <c r="B581" s="4"/>
      <c r="C581" s="4"/>
      <c r="D581" s="4"/>
      <c r="E581" s="4"/>
      <c r="F581" s="4"/>
    </row>
    <row r="582" ht="15.75" customHeight="1">
      <c r="A582" s="4"/>
      <c r="B582" s="4"/>
      <c r="C582" s="4"/>
      <c r="D582" s="4"/>
      <c r="E582" s="4"/>
      <c r="F582" s="4"/>
    </row>
    <row r="583" ht="15.75" customHeight="1">
      <c r="A583" s="4"/>
      <c r="B583" s="4"/>
      <c r="C583" s="4"/>
      <c r="D583" s="4"/>
      <c r="E583" s="4"/>
      <c r="F583" s="4"/>
    </row>
    <row r="584" ht="15.75" customHeight="1">
      <c r="A584" s="4"/>
      <c r="B584" s="4"/>
      <c r="C584" s="4"/>
      <c r="D584" s="4"/>
      <c r="E584" s="4"/>
      <c r="F584" s="4"/>
    </row>
    <row r="585" ht="15.75" customHeight="1">
      <c r="A585" s="4"/>
      <c r="B585" s="4"/>
      <c r="C585" s="4"/>
      <c r="D585" s="4"/>
      <c r="E585" s="4"/>
      <c r="F585" s="4"/>
    </row>
    <row r="586" ht="15.75" customHeight="1">
      <c r="A586" s="4"/>
      <c r="B586" s="4"/>
      <c r="C586" s="4"/>
      <c r="D586" s="4"/>
      <c r="E586" s="4"/>
      <c r="F586" s="4"/>
    </row>
    <row r="587" ht="15.75" customHeight="1">
      <c r="A587" s="4"/>
      <c r="B587" s="4"/>
      <c r="C587" s="4"/>
      <c r="D587" s="4"/>
      <c r="E587" s="4"/>
      <c r="F587" s="4"/>
    </row>
    <row r="588" ht="15.75" customHeight="1">
      <c r="A588" s="4"/>
      <c r="B588" s="4"/>
      <c r="C588" s="4"/>
      <c r="D588" s="4"/>
      <c r="E588" s="4"/>
      <c r="F588" s="4"/>
    </row>
    <row r="589" ht="15.75" customHeight="1">
      <c r="A589" s="4"/>
      <c r="B589" s="4"/>
      <c r="C589" s="4"/>
      <c r="D589" s="4"/>
      <c r="E589" s="4"/>
      <c r="F589" s="4"/>
    </row>
    <row r="590" ht="15.75" customHeight="1">
      <c r="A590" s="4"/>
      <c r="B590" s="4"/>
      <c r="C590" s="4"/>
      <c r="D590" s="4"/>
      <c r="E590" s="4"/>
      <c r="F590" s="4"/>
    </row>
    <row r="591" ht="15.75" customHeight="1">
      <c r="A591" s="4"/>
      <c r="B591" s="4"/>
      <c r="C591" s="4"/>
      <c r="D591" s="4"/>
      <c r="E591" s="4"/>
      <c r="F591" s="4"/>
    </row>
    <row r="592" ht="15.75" customHeight="1">
      <c r="A592" s="4"/>
      <c r="B592" s="4"/>
      <c r="C592" s="4"/>
      <c r="D592" s="4"/>
      <c r="E592" s="4"/>
      <c r="F592" s="4"/>
    </row>
    <row r="593" ht="15.75" customHeight="1">
      <c r="A593" s="4"/>
      <c r="B593" s="4"/>
      <c r="C593" s="4"/>
      <c r="D593" s="4"/>
      <c r="E593" s="4"/>
      <c r="F593" s="4"/>
    </row>
    <row r="594" ht="15.75" customHeight="1">
      <c r="A594" s="4"/>
      <c r="B594" s="4"/>
      <c r="C594" s="4"/>
      <c r="D594" s="4"/>
      <c r="E594" s="4"/>
      <c r="F594" s="4"/>
    </row>
    <row r="595" ht="15.75" customHeight="1">
      <c r="A595" s="4"/>
      <c r="B595" s="4"/>
      <c r="C595" s="4"/>
      <c r="D595" s="4"/>
      <c r="E595" s="4"/>
      <c r="F595" s="4"/>
    </row>
    <row r="596" ht="15.75" customHeight="1">
      <c r="A596" s="4"/>
      <c r="B596" s="4"/>
      <c r="C596" s="4"/>
      <c r="D596" s="4"/>
      <c r="E596" s="4"/>
      <c r="F596" s="4"/>
    </row>
    <row r="597" ht="15.75" customHeight="1">
      <c r="A597" s="4"/>
      <c r="B597" s="4"/>
      <c r="C597" s="4"/>
      <c r="D597" s="4"/>
      <c r="E597" s="4"/>
      <c r="F597" s="4"/>
    </row>
    <row r="598" ht="15.75" customHeight="1">
      <c r="A598" s="4"/>
      <c r="B598" s="4"/>
      <c r="C598" s="4"/>
      <c r="D598" s="4"/>
      <c r="E598" s="4"/>
      <c r="F598" s="4"/>
    </row>
    <row r="599" ht="15.75" customHeight="1">
      <c r="A599" s="4"/>
      <c r="B599" s="4"/>
      <c r="C599" s="4"/>
      <c r="D599" s="4"/>
      <c r="E599" s="4"/>
      <c r="F599" s="4"/>
    </row>
    <row r="600" ht="15.75" customHeight="1">
      <c r="A600" s="4"/>
      <c r="B600" s="4"/>
      <c r="C600" s="4"/>
      <c r="D600" s="4"/>
      <c r="E600" s="4"/>
      <c r="F600" s="4"/>
    </row>
    <row r="601" ht="15.75" customHeight="1">
      <c r="A601" s="4"/>
      <c r="B601" s="4"/>
      <c r="C601" s="4"/>
      <c r="D601" s="4"/>
      <c r="E601" s="4"/>
      <c r="F601" s="4"/>
    </row>
    <row r="602" ht="15.75" customHeight="1">
      <c r="A602" s="4"/>
      <c r="B602" s="4"/>
      <c r="C602" s="4"/>
      <c r="D602" s="4"/>
      <c r="E602" s="4"/>
      <c r="F602" s="4"/>
    </row>
    <row r="603" ht="15.75" customHeight="1">
      <c r="A603" s="4"/>
      <c r="B603" s="4"/>
      <c r="C603" s="4"/>
      <c r="D603" s="4"/>
      <c r="E603" s="4"/>
      <c r="F603" s="4"/>
    </row>
    <row r="604" ht="15.75" customHeight="1">
      <c r="A604" s="4"/>
      <c r="B604" s="4"/>
      <c r="C604" s="4"/>
      <c r="D604" s="4"/>
      <c r="E604" s="4"/>
      <c r="F604" s="4"/>
    </row>
    <row r="605" ht="15.75" customHeight="1">
      <c r="A605" s="4"/>
      <c r="B605" s="4"/>
      <c r="C605" s="4"/>
      <c r="D605" s="4"/>
      <c r="E605" s="4"/>
      <c r="F605" s="4"/>
    </row>
    <row r="606" ht="15.75" customHeight="1">
      <c r="A606" s="4"/>
      <c r="B606" s="4"/>
      <c r="C606" s="4"/>
      <c r="D606" s="4"/>
      <c r="E606" s="4"/>
      <c r="F606" s="4"/>
    </row>
    <row r="607" ht="15.75" customHeight="1">
      <c r="A607" s="4"/>
      <c r="B607" s="4"/>
      <c r="C607" s="4"/>
      <c r="D607" s="4"/>
      <c r="E607" s="4"/>
      <c r="F607" s="4"/>
    </row>
    <row r="608" ht="15.75" customHeight="1">
      <c r="A608" s="4"/>
      <c r="B608" s="4"/>
      <c r="C608" s="4"/>
      <c r="D608" s="4"/>
      <c r="E608" s="4"/>
      <c r="F608" s="4"/>
    </row>
    <row r="609" ht="15.75" customHeight="1">
      <c r="A609" s="4"/>
      <c r="B609" s="4"/>
      <c r="C609" s="4"/>
      <c r="D609" s="4"/>
      <c r="E609" s="4"/>
      <c r="F609" s="4"/>
    </row>
    <row r="610" ht="15.75" customHeight="1">
      <c r="A610" s="4"/>
      <c r="B610" s="4"/>
      <c r="C610" s="4"/>
      <c r="D610" s="4"/>
      <c r="E610" s="4"/>
      <c r="F610" s="4"/>
    </row>
    <row r="611" ht="15.75" customHeight="1">
      <c r="A611" s="4"/>
      <c r="B611" s="4"/>
      <c r="C611" s="4"/>
      <c r="D611" s="4"/>
      <c r="E611" s="4"/>
      <c r="F611" s="4"/>
    </row>
    <row r="612" ht="15.75" customHeight="1">
      <c r="A612" s="4"/>
      <c r="B612" s="4"/>
      <c r="C612" s="4"/>
      <c r="D612" s="4"/>
      <c r="E612" s="4"/>
      <c r="F612" s="4"/>
    </row>
    <row r="613" ht="15.75" customHeight="1">
      <c r="A613" s="4"/>
      <c r="B613" s="4"/>
      <c r="C613" s="4"/>
      <c r="D613" s="4"/>
      <c r="E613" s="4"/>
      <c r="F613" s="4"/>
    </row>
    <row r="614" ht="15.75" customHeight="1">
      <c r="A614" s="4"/>
      <c r="B614" s="4"/>
      <c r="C614" s="4"/>
      <c r="D614" s="4"/>
      <c r="E614" s="4"/>
      <c r="F614" s="4"/>
    </row>
    <row r="615" ht="15.75" customHeight="1">
      <c r="A615" s="4"/>
      <c r="B615" s="4"/>
      <c r="C615" s="4"/>
      <c r="D615" s="4"/>
      <c r="E615" s="4"/>
      <c r="F615" s="4"/>
    </row>
    <row r="616" ht="15.75" customHeight="1">
      <c r="A616" s="4"/>
      <c r="B616" s="4"/>
      <c r="C616" s="4"/>
      <c r="D616" s="4"/>
      <c r="E616" s="4"/>
      <c r="F616" s="4"/>
    </row>
    <row r="617" ht="15.75" customHeight="1">
      <c r="A617" s="4"/>
      <c r="B617" s="4"/>
      <c r="C617" s="4"/>
      <c r="D617" s="4"/>
      <c r="E617" s="4"/>
      <c r="F617" s="4"/>
    </row>
    <row r="618" ht="15.75" customHeight="1">
      <c r="A618" s="4"/>
      <c r="B618" s="4"/>
      <c r="C618" s="4"/>
      <c r="D618" s="4"/>
      <c r="E618" s="4"/>
      <c r="F618" s="4"/>
    </row>
    <row r="619" ht="15.75" customHeight="1">
      <c r="A619" s="4"/>
      <c r="B619" s="4"/>
      <c r="C619" s="4"/>
      <c r="D619" s="4"/>
      <c r="E619" s="4"/>
      <c r="F619" s="4"/>
    </row>
    <row r="620" ht="15.75" customHeight="1">
      <c r="A620" s="4"/>
      <c r="B620" s="4"/>
      <c r="C620" s="4"/>
      <c r="D620" s="4"/>
      <c r="E620" s="4"/>
      <c r="F620" s="4"/>
    </row>
    <row r="621" ht="15.75" customHeight="1">
      <c r="A621" s="4"/>
      <c r="B621" s="4"/>
      <c r="C621" s="4"/>
      <c r="D621" s="4"/>
      <c r="E621" s="4"/>
      <c r="F621" s="4"/>
    </row>
    <row r="622" ht="15.75" customHeight="1">
      <c r="A622" s="4"/>
      <c r="B622" s="4"/>
      <c r="C622" s="4"/>
      <c r="D622" s="4"/>
      <c r="E622" s="4"/>
      <c r="F622" s="4"/>
    </row>
    <row r="623" ht="15.75" customHeight="1">
      <c r="A623" s="4"/>
      <c r="B623" s="4"/>
      <c r="C623" s="4"/>
      <c r="D623" s="4"/>
      <c r="E623" s="4"/>
      <c r="F623" s="4"/>
    </row>
    <row r="624" ht="15.75" customHeight="1">
      <c r="A624" s="4"/>
      <c r="B624" s="4"/>
      <c r="C624" s="4"/>
      <c r="D624" s="4"/>
      <c r="E624" s="4"/>
      <c r="F624" s="4"/>
    </row>
    <row r="625" ht="15.75" customHeight="1">
      <c r="A625" s="4"/>
      <c r="B625" s="4"/>
      <c r="C625" s="4"/>
      <c r="D625" s="4"/>
      <c r="E625" s="4"/>
      <c r="F625" s="4"/>
    </row>
    <row r="626" ht="15.75" customHeight="1">
      <c r="A626" s="4"/>
      <c r="B626" s="4"/>
      <c r="C626" s="4"/>
      <c r="D626" s="4"/>
      <c r="E626" s="4"/>
      <c r="F626" s="4"/>
    </row>
    <row r="627" ht="15.75" customHeight="1">
      <c r="A627" s="4"/>
      <c r="B627" s="4"/>
      <c r="C627" s="4"/>
      <c r="D627" s="4"/>
      <c r="E627" s="4"/>
      <c r="F627" s="4"/>
    </row>
    <row r="628" ht="15.75" customHeight="1">
      <c r="A628" s="4"/>
      <c r="B628" s="4"/>
      <c r="C628" s="4"/>
      <c r="D628" s="4"/>
      <c r="E628" s="4"/>
      <c r="F628" s="4"/>
    </row>
    <row r="629" ht="15.75" customHeight="1">
      <c r="A629" s="4"/>
      <c r="B629" s="4"/>
      <c r="C629" s="4"/>
      <c r="D629" s="4"/>
      <c r="E629" s="4"/>
      <c r="F629" s="4"/>
    </row>
    <row r="630" ht="15.75" customHeight="1">
      <c r="A630" s="4"/>
      <c r="B630" s="4"/>
      <c r="C630" s="4"/>
      <c r="D630" s="4"/>
      <c r="E630" s="4"/>
      <c r="F630" s="4"/>
    </row>
    <row r="631" ht="15.75" customHeight="1">
      <c r="A631" s="4"/>
      <c r="B631" s="4"/>
      <c r="C631" s="4"/>
      <c r="D631" s="4"/>
      <c r="E631" s="4"/>
      <c r="F631" s="4"/>
    </row>
    <row r="632" ht="15.75" customHeight="1">
      <c r="A632" s="4"/>
      <c r="B632" s="4"/>
      <c r="C632" s="4"/>
      <c r="D632" s="4"/>
      <c r="E632" s="4"/>
      <c r="F632" s="4"/>
    </row>
    <row r="633" ht="15.75" customHeight="1">
      <c r="A633" s="4"/>
      <c r="B633" s="4"/>
      <c r="C633" s="4"/>
      <c r="D633" s="4"/>
      <c r="E633" s="4"/>
      <c r="F633" s="4"/>
    </row>
    <row r="634" ht="15.75" customHeight="1">
      <c r="A634" s="4"/>
      <c r="B634" s="4"/>
      <c r="C634" s="4"/>
      <c r="D634" s="4"/>
      <c r="E634" s="4"/>
      <c r="F634" s="4"/>
    </row>
    <row r="635" ht="15.75" customHeight="1">
      <c r="A635" s="4"/>
      <c r="B635" s="4"/>
      <c r="C635" s="4"/>
      <c r="D635" s="4"/>
      <c r="E635" s="4"/>
      <c r="F635" s="4"/>
    </row>
    <row r="636" ht="15.75" customHeight="1">
      <c r="A636" s="4"/>
      <c r="B636" s="4"/>
      <c r="C636" s="4"/>
      <c r="D636" s="4"/>
      <c r="E636" s="4"/>
      <c r="F636" s="4"/>
    </row>
    <row r="637" ht="15.75" customHeight="1">
      <c r="A637" s="4"/>
      <c r="B637" s="4"/>
      <c r="C637" s="4"/>
      <c r="D637" s="4"/>
      <c r="E637" s="4"/>
      <c r="F637" s="4"/>
    </row>
    <row r="638" ht="15.75" customHeight="1">
      <c r="A638" s="4"/>
      <c r="B638" s="4"/>
      <c r="C638" s="4"/>
      <c r="D638" s="4"/>
      <c r="E638" s="4"/>
      <c r="F638" s="4"/>
    </row>
    <row r="639" ht="15.75" customHeight="1">
      <c r="A639" s="4"/>
      <c r="B639" s="4"/>
      <c r="C639" s="4"/>
      <c r="D639" s="4"/>
      <c r="E639" s="4"/>
      <c r="F639" s="4"/>
    </row>
    <row r="640" ht="15.75" customHeight="1">
      <c r="A640" s="4"/>
      <c r="B640" s="4"/>
      <c r="C640" s="4"/>
      <c r="D640" s="4"/>
      <c r="E640" s="4"/>
      <c r="F640" s="4"/>
    </row>
    <row r="641" ht="15.75" customHeight="1">
      <c r="A641" s="4"/>
      <c r="B641" s="4"/>
      <c r="C641" s="4"/>
      <c r="D641" s="4"/>
      <c r="E641" s="4"/>
      <c r="F641" s="4"/>
    </row>
    <row r="642" ht="15.75" customHeight="1">
      <c r="A642" s="4"/>
      <c r="B642" s="4"/>
      <c r="C642" s="4"/>
      <c r="D642" s="4"/>
      <c r="E642" s="4"/>
      <c r="F642" s="4"/>
    </row>
    <row r="643" ht="15.75" customHeight="1">
      <c r="A643" s="4"/>
      <c r="B643" s="4"/>
      <c r="C643" s="4"/>
      <c r="D643" s="4"/>
      <c r="E643" s="4"/>
      <c r="F643" s="4"/>
    </row>
    <row r="644" ht="15.75" customHeight="1">
      <c r="A644" s="4"/>
      <c r="B644" s="4"/>
      <c r="C644" s="4"/>
      <c r="D644" s="4"/>
      <c r="E644" s="4"/>
      <c r="F644" s="4"/>
    </row>
    <row r="645" ht="15.75" customHeight="1">
      <c r="A645" s="4"/>
      <c r="B645" s="4"/>
      <c r="C645" s="4"/>
      <c r="D645" s="4"/>
      <c r="E645" s="4"/>
      <c r="F645" s="4"/>
    </row>
    <row r="646" ht="15.75" customHeight="1">
      <c r="A646" s="4"/>
      <c r="B646" s="4"/>
      <c r="C646" s="4"/>
      <c r="D646" s="4"/>
      <c r="E646" s="4"/>
      <c r="F646" s="4"/>
    </row>
    <row r="647" ht="15.75" customHeight="1">
      <c r="A647" s="4"/>
      <c r="B647" s="4"/>
      <c r="C647" s="4"/>
      <c r="D647" s="4"/>
      <c r="E647" s="4"/>
      <c r="F647" s="4"/>
    </row>
    <row r="648" ht="15.75" customHeight="1">
      <c r="A648" s="4"/>
      <c r="B648" s="4"/>
      <c r="C648" s="4"/>
      <c r="D648" s="4"/>
      <c r="E648" s="4"/>
      <c r="F648" s="4"/>
    </row>
    <row r="649" ht="15.75" customHeight="1">
      <c r="A649" s="4"/>
      <c r="B649" s="4"/>
      <c r="C649" s="4"/>
      <c r="D649" s="4"/>
      <c r="E649" s="4"/>
      <c r="F649" s="4"/>
    </row>
    <row r="650" ht="15.75" customHeight="1">
      <c r="A650" s="4"/>
      <c r="B650" s="4"/>
      <c r="C650" s="4"/>
      <c r="D650" s="4"/>
      <c r="E650" s="4"/>
      <c r="F650" s="4"/>
    </row>
    <row r="651" ht="15.75" customHeight="1">
      <c r="A651" s="4"/>
      <c r="B651" s="4"/>
      <c r="C651" s="4"/>
      <c r="D651" s="4"/>
      <c r="E651" s="4"/>
      <c r="F651" s="4"/>
    </row>
    <row r="652" ht="15.75" customHeight="1">
      <c r="A652" s="4"/>
      <c r="B652" s="4"/>
      <c r="C652" s="4"/>
      <c r="D652" s="4"/>
      <c r="E652" s="4"/>
      <c r="F652" s="4"/>
    </row>
    <row r="653" ht="15.75" customHeight="1">
      <c r="A653" s="4"/>
      <c r="B653" s="4"/>
      <c r="C653" s="4"/>
      <c r="D653" s="4"/>
      <c r="E653" s="4"/>
      <c r="F653" s="4"/>
    </row>
    <row r="654" ht="15.75" customHeight="1">
      <c r="A654" s="4"/>
      <c r="B654" s="4"/>
      <c r="C654" s="4"/>
      <c r="D654" s="4"/>
      <c r="E654" s="4"/>
      <c r="F654" s="4"/>
    </row>
    <row r="655" ht="15.75" customHeight="1">
      <c r="A655" s="4"/>
      <c r="B655" s="4"/>
      <c r="C655" s="4"/>
      <c r="D655" s="4"/>
      <c r="E655" s="4"/>
      <c r="F655" s="4"/>
    </row>
    <row r="656" ht="15.75" customHeight="1">
      <c r="A656" s="4"/>
      <c r="B656" s="4"/>
      <c r="C656" s="4"/>
      <c r="D656" s="4"/>
      <c r="E656" s="4"/>
      <c r="F656" s="4"/>
    </row>
    <row r="657" ht="15.75" customHeight="1">
      <c r="A657" s="4"/>
      <c r="B657" s="4"/>
      <c r="C657" s="4"/>
      <c r="D657" s="4"/>
      <c r="E657" s="4"/>
      <c r="F657" s="4"/>
    </row>
    <row r="658" ht="15.75" customHeight="1">
      <c r="A658" s="4"/>
      <c r="B658" s="4"/>
      <c r="C658" s="4"/>
      <c r="D658" s="4"/>
      <c r="E658" s="4"/>
      <c r="F658" s="4"/>
    </row>
    <row r="659" ht="15.75" customHeight="1">
      <c r="A659" s="4"/>
      <c r="B659" s="4"/>
      <c r="C659" s="4"/>
      <c r="D659" s="4"/>
      <c r="E659" s="4"/>
      <c r="F659" s="4"/>
    </row>
    <row r="660" ht="15.75" customHeight="1">
      <c r="A660" s="4"/>
      <c r="B660" s="4"/>
      <c r="C660" s="4"/>
      <c r="D660" s="4"/>
      <c r="E660" s="4"/>
      <c r="F660" s="4"/>
    </row>
    <row r="661" ht="15.75" customHeight="1">
      <c r="A661" s="4"/>
      <c r="B661" s="4"/>
      <c r="C661" s="4"/>
      <c r="D661" s="4"/>
      <c r="E661" s="4"/>
      <c r="F661" s="4"/>
    </row>
    <row r="662" ht="15.75" customHeight="1">
      <c r="A662" s="4"/>
      <c r="B662" s="4"/>
      <c r="C662" s="4"/>
      <c r="D662" s="4"/>
      <c r="E662" s="4"/>
      <c r="F662" s="4"/>
    </row>
    <row r="663" ht="15.75" customHeight="1">
      <c r="A663" s="4"/>
      <c r="B663" s="4"/>
      <c r="C663" s="4"/>
      <c r="D663" s="4"/>
      <c r="E663" s="4"/>
      <c r="F663" s="4"/>
    </row>
    <row r="664" ht="15.75" customHeight="1">
      <c r="A664" s="4"/>
      <c r="B664" s="4"/>
      <c r="C664" s="4"/>
      <c r="D664" s="4"/>
      <c r="E664" s="4"/>
      <c r="F664" s="4"/>
    </row>
    <row r="665" ht="15.75" customHeight="1">
      <c r="A665" s="4"/>
      <c r="B665" s="4"/>
      <c r="C665" s="4"/>
      <c r="D665" s="4"/>
      <c r="E665" s="4"/>
      <c r="F665" s="4"/>
    </row>
    <row r="666" ht="15.75" customHeight="1">
      <c r="A666" s="4"/>
      <c r="B666" s="4"/>
      <c r="C666" s="4"/>
      <c r="D666" s="4"/>
      <c r="E666" s="4"/>
      <c r="F666" s="4"/>
    </row>
    <row r="667" ht="15.75" customHeight="1">
      <c r="A667" s="4"/>
      <c r="B667" s="4"/>
      <c r="C667" s="4"/>
      <c r="D667" s="4"/>
      <c r="E667" s="4"/>
      <c r="F667" s="4"/>
    </row>
    <row r="668" ht="15.75" customHeight="1">
      <c r="A668" s="4"/>
      <c r="B668" s="4"/>
      <c r="C668" s="4"/>
      <c r="D668" s="4"/>
      <c r="E668" s="4"/>
      <c r="F668" s="4"/>
    </row>
    <row r="669" ht="15.75" customHeight="1">
      <c r="A669" s="4"/>
      <c r="B669" s="4"/>
      <c r="C669" s="4"/>
      <c r="D669" s="4"/>
      <c r="E669" s="4"/>
      <c r="F669" s="4"/>
    </row>
    <row r="670" ht="15.75" customHeight="1">
      <c r="A670" s="4"/>
      <c r="B670" s="4"/>
      <c r="C670" s="4"/>
      <c r="D670" s="4"/>
      <c r="E670" s="4"/>
      <c r="F670" s="4"/>
    </row>
    <row r="671" ht="15.75" customHeight="1">
      <c r="A671" s="4"/>
      <c r="B671" s="4"/>
      <c r="C671" s="4"/>
      <c r="D671" s="4"/>
      <c r="E671" s="4"/>
      <c r="F671" s="4"/>
    </row>
    <row r="672" ht="15.75" customHeight="1">
      <c r="A672" s="4"/>
      <c r="B672" s="4"/>
      <c r="C672" s="4"/>
      <c r="D672" s="4"/>
      <c r="E672" s="4"/>
      <c r="F672" s="4"/>
    </row>
    <row r="673" ht="15.75" customHeight="1">
      <c r="A673" s="4"/>
      <c r="B673" s="4"/>
      <c r="C673" s="4"/>
      <c r="D673" s="4"/>
      <c r="E673" s="4"/>
      <c r="F673" s="4"/>
    </row>
    <row r="674" ht="15.75" customHeight="1">
      <c r="A674" s="4"/>
      <c r="B674" s="4"/>
      <c r="C674" s="4"/>
      <c r="D674" s="4"/>
      <c r="E674" s="4"/>
      <c r="F674" s="4"/>
    </row>
    <row r="675" ht="15.75" customHeight="1">
      <c r="A675" s="4"/>
      <c r="B675" s="4"/>
      <c r="C675" s="4"/>
      <c r="D675" s="4"/>
      <c r="E675" s="4"/>
      <c r="F675" s="4"/>
    </row>
    <row r="676" ht="15.75" customHeight="1">
      <c r="A676" s="4"/>
      <c r="B676" s="4"/>
      <c r="C676" s="4"/>
      <c r="D676" s="4"/>
      <c r="E676" s="4"/>
      <c r="F676" s="4"/>
    </row>
    <row r="677" ht="15.75" customHeight="1">
      <c r="A677" s="4"/>
      <c r="B677" s="4"/>
      <c r="C677" s="4"/>
      <c r="D677" s="4"/>
      <c r="E677" s="4"/>
      <c r="F677" s="4"/>
    </row>
    <row r="678" ht="15.75" customHeight="1">
      <c r="A678" s="4"/>
      <c r="B678" s="4"/>
      <c r="C678" s="4"/>
      <c r="D678" s="4"/>
      <c r="E678" s="4"/>
      <c r="F678" s="4"/>
    </row>
    <row r="679" ht="15.75" customHeight="1">
      <c r="A679" s="4"/>
      <c r="B679" s="4"/>
      <c r="C679" s="4"/>
      <c r="D679" s="4"/>
      <c r="E679" s="4"/>
      <c r="F679" s="4"/>
    </row>
    <row r="680" ht="15.75" customHeight="1">
      <c r="A680" s="4"/>
      <c r="B680" s="4"/>
      <c r="C680" s="4"/>
      <c r="D680" s="4"/>
      <c r="E680" s="4"/>
      <c r="F680" s="4"/>
    </row>
    <row r="681" ht="15.75" customHeight="1">
      <c r="A681" s="4"/>
      <c r="B681" s="4"/>
      <c r="C681" s="4"/>
      <c r="D681" s="4"/>
      <c r="E681" s="4"/>
      <c r="F681" s="4"/>
    </row>
    <row r="682" ht="15.75" customHeight="1">
      <c r="A682" s="4"/>
      <c r="B682" s="4"/>
      <c r="C682" s="4"/>
      <c r="D682" s="4"/>
      <c r="E682" s="4"/>
      <c r="F682" s="4"/>
    </row>
    <row r="683" ht="15.75" customHeight="1">
      <c r="A683" s="4"/>
      <c r="B683" s="4"/>
      <c r="C683" s="4"/>
      <c r="D683" s="4"/>
      <c r="E683" s="4"/>
      <c r="F683" s="4"/>
    </row>
    <row r="684" ht="15.75" customHeight="1">
      <c r="A684" s="4"/>
      <c r="B684" s="4"/>
      <c r="C684" s="4"/>
      <c r="D684" s="4"/>
      <c r="E684" s="4"/>
      <c r="F684" s="4"/>
    </row>
    <row r="685" ht="15.75" customHeight="1">
      <c r="A685" s="4"/>
      <c r="B685" s="4"/>
      <c r="C685" s="4"/>
      <c r="D685" s="4"/>
      <c r="E685" s="4"/>
      <c r="F685" s="4"/>
    </row>
    <row r="686" ht="15.75" customHeight="1">
      <c r="A686" s="4"/>
      <c r="B686" s="4"/>
      <c r="C686" s="4"/>
      <c r="D686" s="4"/>
      <c r="E686" s="4"/>
      <c r="F686" s="4"/>
    </row>
    <row r="687" ht="15.75" customHeight="1">
      <c r="A687" s="4"/>
      <c r="B687" s="4"/>
      <c r="C687" s="4"/>
      <c r="D687" s="4"/>
      <c r="E687" s="4"/>
      <c r="F687" s="4"/>
    </row>
    <row r="688" ht="15.75" customHeight="1">
      <c r="A688" s="4"/>
      <c r="B688" s="4"/>
      <c r="C688" s="4"/>
      <c r="D688" s="4"/>
      <c r="E688" s="4"/>
      <c r="F688" s="4"/>
    </row>
    <row r="689" ht="15.75" customHeight="1">
      <c r="A689" s="4"/>
      <c r="B689" s="4"/>
      <c r="C689" s="4"/>
      <c r="D689" s="4"/>
      <c r="E689" s="4"/>
      <c r="F689" s="4"/>
    </row>
    <row r="690" ht="15.75" customHeight="1">
      <c r="A690" s="4"/>
      <c r="B690" s="4"/>
      <c r="C690" s="4"/>
      <c r="D690" s="4"/>
      <c r="E690" s="4"/>
      <c r="F690" s="4"/>
    </row>
    <row r="691" ht="15.75" customHeight="1">
      <c r="A691" s="4"/>
      <c r="B691" s="4"/>
      <c r="C691" s="4"/>
      <c r="D691" s="4"/>
      <c r="E691" s="4"/>
      <c r="F691" s="4"/>
    </row>
    <row r="692" ht="15.75" customHeight="1">
      <c r="A692" s="4"/>
      <c r="B692" s="4"/>
      <c r="C692" s="4"/>
      <c r="D692" s="4"/>
      <c r="E692" s="4"/>
      <c r="F692" s="4"/>
    </row>
    <row r="693" ht="15.75" customHeight="1">
      <c r="A693" s="4"/>
      <c r="B693" s="4"/>
      <c r="C693" s="4"/>
      <c r="D693" s="4"/>
      <c r="E693" s="4"/>
      <c r="F693" s="4"/>
    </row>
    <row r="694" ht="15.75" customHeight="1">
      <c r="A694" s="4"/>
      <c r="B694" s="4"/>
      <c r="C694" s="4"/>
      <c r="D694" s="4"/>
      <c r="E694" s="4"/>
      <c r="F694" s="4"/>
    </row>
    <row r="695" ht="15.75" customHeight="1">
      <c r="A695" s="4"/>
      <c r="B695" s="4"/>
      <c r="C695" s="4"/>
      <c r="D695" s="4"/>
      <c r="E695" s="4"/>
      <c r="F695" s="4"/>
    </row>
    <row r="696" ht="15.75" customHeight="1">
      <c r="A696" s="4"/>
      <c r="B696" s="4"/>
      <c r="C696" s="4"/>
      <c r="D696" s="4"/>
      <c r="E696" s="4"/>
      <c r="F696" s="4"/>
    </row>
    <row r="697" ht="15.75" customHeight="1">
      <c r="A697" s="4"/>
      <c r="B697" s="4"/>
      <c r="C697" s="4"/>
      <c r="D697" s="4"/>
      <c r="E697" s="4"/>
      <c r="F697" s="4"/>
    </row>
    <row r="698" ht="15.75" customHeight="1">
      <c r="A698" s="4"/>
      <c r="B698" s="4"/>
      <c r="C698" s="4"/>
      <c r="D698" s="4"/>
      <c r="E698" s="4"/>
      <c r="F698" s="4"/>
    </row>
    <row r="699" ht="15.75" customHeight="1">
      <c r="A699" s="4"/>
      <c r="B699" s="4"/>
      <c r="C699" s="4"/>
      <c r="D699" s="4"/>
      <c r="E699" s="4"/>
      <c r="F699" s="4"/>
    </row>
    <row r="700" ht="15.75" customHeight="1">
      <c r="A700" s="4"/>
      <c r="B700" s="4"/>
      <c r="C700" s="4"/>
      <c r="D700" s="4"/>
      <c r="E700" s="4"/>
      <c r="F700" s="4"/>
    </row>
    <row r="701" ht="15.75" customHeight="1">
      <c r="A701" s="4"/>
      <c r="B701" s="4"/>
      <c r="C701" s="4"/>
      <c r="D701" s="4"/>
      <c r="E701" s="4"/>
      <c r="F701" s="4"/>
    </row>
    <row r="702" ht="15.75" customHeight="1">
      <c r="A702" s="4"/>
      <c r="B702" s="4"/>
      <c r="C702" s="4"/>
      <c r="D702" s="4"/>
      <c r="E702" s="4"/>
      <c r="F702" s="4"/>
    </row>
    <row r="703" ht="15.75" customHeight="1">
      <c r="A703" s="4"/>
      <c r="B703" s="4"/>
      <c r="C703" s="4"/>
      <c r="D703" s="4"/>
      <c r="E703" s="4"/>
      <c r="F703" s="4"/>
    </row>
    <row r="704" ht="15.75" customHeight="1">
      <c r="A704" s="4"/>
      <c r="B704" s="4"/>
      <c r="C704" s="4"/>
      <c r="D704" s="4"/>
      <c r="E704" s="4"/>
      <c r="F704" s="4"/>
    </row>
    <row r="705" ht="15.75" customHeight="1">
      <c r="A705" s="4"/>
      <c r="B705" s="4"/>
      <c r="C705" s="4"/>
      <c r="D705" s="4"/>
      <c r="E705" s="4"/>
      <c r="F705" s="4"/>
    </row>
    <row r="706" ht="15.75" customHeight="1">
      <c r="A706" s="4"/>
      <c r="B706" s="4"/>
      <c r="C706" s="4"/>
      <c r="D706" s="4"/>
      <c r="E706" s="4"/>
      <c r="F706" s="4"/>
    </row>
    <row r="707" ht="15.75" customHeight="1">
      <c r="A707" s="4"/>
      <c r="B707" s="4"/>
      <c r="C707" s="4"/>
      <c r="D707" s="4"/>
      <c r="E707" s="4"/>
      <c r="F707" s="4"/>
    </row>
    <row r="708" ht="15.75" customHeight="1">
      <c r="A708" s="4"/>
      <c r="B708" s="4"/>
      <c r="C708" s="4"/>
      <c r="D708" s="4"/>
      <c r="E708" s="4"/>
      <c r="F708" s="4"/>
    </row>
    <row r="709" ht="15.75" customHeight="1">
      <c r="A709" s="4"/>
      <c r="B709" s="4"/>
      <c r="C709" s="4"/>
      <c r="D709" s="4"/>
      <c r="E709" s="4"/>
      <c r="F709" s="4"/>
    </row>
    <row r="710" ht="15.75" customHeight="1">
      <c r="A710" s="4"/>
      <c r="B710" s="4"/>
      <c r="C710" s="4"/>
      <c r="D710" s="4"/>
      <c r="E710" s="4"/>
      <c r="F710" s="4"/>
    </row>
    <row r="711" ht="15.75" customHeight="1">
      <c r="A711" s="4"/>
      <c r="B711" s="4"/>
      <c r="C711" s="4"/>
      <c r="D711" s="4"/>
      <c r="E711" s="4"/>
      <c r="F711" s="4"/>
    </row>
    <row r="712" ht="15.75" customHeight="1">
      <c r="A712" s="4"/>
      <c r="B712" s="4"/>
      <c r="C712" s="4"/>
      <c r="D712" s="4"/>
      <c r="E712" s="4"/>
      <c r="F712" s="4"/>
    </row>
    <row r="713" ht="15.75" customHeight="1">
      <c r="A713" s="4"/>
      <c r="B713" s="4"/>
      <c r="C713" s="4"/>
      <c r="D713" s="4"/>
      <c r="E713" s="4"/>
      <c r="F713" s="4"/>
    </row>
    <row r="714" ht="15.75" customHeight="1">
      <c r="A714" s="4"/>
      <c r="B714" s="4"/>
      <c r="C714" s="4"/>
      <c r="D714" s="4"/>
      <c r="E714" s="4"/>
      <c r="F714" s="4"/>
    </row>
    <row r="715" ht="15.75" customHeight="1">
      <c r="A715" s="4"/>
      <c r="B715" s="4"/>
      <c r="C715" s="4"/>
      <c r="D715" s="4"/>
      <c r="E715" s="4"/>
      <c r="F715" s="4"/>
    </row>
    <row r="716" ht="15.75" customHeight="1">
      <c r="A716" s="4"/>
      <c r="B716" s="4"/>
      <c r="C716" s="4"/>
      <c r="D716" s="4"/>
      <c r="E716" s="4"/>
      <c r="F716" s="4"/>
    </row>
    <row r="717" ht="15.75" customHeight="1">
      <c r="A717" s="4"/>
      <c r="B717" s="4"/>
      <c r="C717" s="4"/>
      <c r="D717" s="4"/>
      <c r="E717" s="4"/>
      <c r="F717" s="4"/>
    </row>
    <row r="718" ht="15.75" customHeight="1">
      <c r="A718" s="4"/>
      <c r="B718" s="4"/>
      <c r="C718" s="4"/>
      <c r="D718" s="4"/>
      <c r="E718" s="4"/>
      <c r="F718" s="4"/>
    </row>
    <row r="719" ht="15.75" customHeight="1">
      <c r="A719" s="4"/>
      <c r="B719" s="4"/>
      <c r="C719" s="4"/>
      <c r="D719" s="4"/>
      <c r="E719" s="4"/>
      <c r="F719" s="4"/>
    </row>
    <row r="720" ht="15.75" customHeight="1">
      <c r="A720" s="4"/>
      <c r="B720" s="4"/>
      <c r="C720" s="4"/>
      <c r="D720" s="4"/>
      <c r="E720" s="4"/>
      <c r="F720" s="4"/>
    </row>
    <row r="721" ht="15.75" customHeight="1">
      <c r="A721" s="4"/>
      <c r="B721" s="4"/>
      <c r="C721" s="4"/>
      <c r="D721" s="4"/>
      <c r="E721" s="4"/>
      <c r="F721" s="4"/>
    </row>
    <row r="722" ht="15.75" customHeight="1">
      <c r="A722" s="4"/>
      <c r="B722" s="4"/>
      <c r="C722" s="4"/>
      <c r="D722" s="4"/>
      <c r="E722" s="4"/>
      <c r="F722" s="4"/>
    </row>
    <row r="723" ht="15.75" customHeight="1">
      <c r="A723" s="4"/>
      <c r="B723" s="4"/>
      <c r="C723" s="4"/>
      <c r="D723" s="4"/>
      <c r="E723" s="4"/>
      <c r="F723" s="4"/>
    </row>
    <row r="724" ht="15.75" customHeight="1">
      <c r="A724" s="4"/>
      <c r="B724" s="4"/>
      <c r="C724" s="4"/>
      <c r="D724" s="4"/>
      <c r="E724" s="4"/>
      <c r="F724" s="4"/>
    </row>
    <row r="725" ht="15.75" customHeight="1">
      <c r="A725" s="4"/>
      <c r="B725" s="4"/>
      <c r="C725" s="4"/>
      <c r="D725" s="4"/>
      <c r="E725" s="4"/>
      <c r="F725" s="4"/>
    </row>
    <row r="726" ht="15.75" customHeight="1">
      <c r="A726" s="4"/>
      <c r="B726" s="4"/>
      <c r="C726" s="4"/>
      <c r="D726" s="4"/>
      <c r="E726" s="4"/>
      <c r="F726" s="4"/>
    </row>
    <row r="727" ht="15.75" customHeight="1">
      <c r="A727" s="4"/>
      <c r="B727" s="4"/>
      <c r="C727" s="4"/>
      <c r="D727" s="4"/>
      <c r="E727" s="4"/>
      <c r="F727" s="4"/>
    </row>
    <row r="728" ht="15.75" customHeight="1">
      <c r="A728" s="4"/>
      <c r="B728" s="4"/>
      <c r="C728" s="4"/>
      <c r="D728" s="4"/>
      <c r="E728" s="4"/>
      <c r="F728" s="4"/>
    </row>
    <row r="729" ht="15.75" customHeight="1">
      <c r="A729" s="4"/>
      <c r="B729" s="4"/>
      <c r="C729" s="4"/>
      <c r="D729" s="4"/>
      <c r="E729" s="4"/>
      <c r="F729" s="4"/>
    </row>
    <row r="730" ht="15.75" customHeight="1">
      <c r="A730" s="4"/>
      <c r="B730" s="4"/>
      <c r="C730" s="4"/>
      <c r="D730" s="4"/>
      <c r="E730" s="4"/>
      <c r="F730" s="4"/>
    </row>
    <row r="731" ht="15.75" customHeight="1">
      <c r="A731" s="4"/>
      <c r="B731" s="4"/>
      <c r="C731" s="4"/>
      <c r="D731" s="4"/>
      <c r="E731" s="4"/>
      <c r="F731" s="4"/>
    </row>
    <row r="732" ht="15.75" customHeight="1">
      <c r="A732" s="4"/>
      <c r="B732" s="4"/>
      <c r="C732" s="4"/>
      <c r="D732" s="4"/>
      <c r="E732" s="4"/>
      <c r="F732" s="4"/>
    </row>
    <row r="733" ht="15.75" customHeight="1">
      <c r="A733" s="4"/>
      <c r="B733" s="4"/>
      <c r="C733" s="4"/>
      <c r="D733" s="4"/>
      <c r="E733" s="4"/>
      <c r="F733" s="4"/>
    </row>
    <row r="734" ht="15.75" customHeight="1">
      <c r="A734" s="4"/>
      <c r="B734" s="4"/>
      <c r="C734" s="4"/>
      <c r="D734" s="4"/>
      <c r="E734" s="4"/>
      <c r="F734" s="4"/>
    </row>
    <row r="735" ht="15.75" customHeight="1">
      <c r="A735" s="4"/>
      <c r="B735" s="4"/>
      <c r="C735" s="4"/>
      <c r="D735" s="4"/>
      <c r="E735" s="4"/>
      <c r="F735" s="4"/>
    </row>
    <row r="736" ht="15.75" customHeight="1">
      <c r="A736" s="4"/>
      <c r="B736" s="4"/>
      <c r="C736" s="4"/>
      <c r="D736" s="4"/>
      <c r="E736" s="4"/>
      <c r="F736" s="4"/>
    </row>
    <row r="737" ht="15.75" customHeight="1">
      <c r="A737" s="4"/>
      <c r="B737" s="4"/>
      <c r="C737" s="4"/>
      <c r="D737" s="4"/>
      <c r="E737" s="4"/>
      <c r="F737" s="4"/>
    </row>
    <row r="738" ht="15.75" customHeight="1">
      <c r="A738" s="4"/>
      <c r="B738" s="4"/>
      <c r="C738" s="4"/>
      <c r="D738" s="4"/>
      <c r="E738" s="4"/>
      <c r="F738" s="4"/>
    </row>
    <row r="739" ht="15.75" customHeight="1">
      <c r="A739" s="4"/>
      <c r="B739" s="4"/>
      <c r="C739" s="4"/>
      <c r="D739" s="4"/>
      <c r="E739" s="4"/>
      <c r="F739" s="4"/>
    </row>
    <row r="740" ht="15.75" customHeight="1">
      <c r="A740" s="4"/>
      <c r="B740" s="4"/>
      <c r="C740" s="4"/>
      <c r="D740" s="4"/>
      <c r="E740" s="4"/>
      <c r="F740" s="4"/>
    </row>
    <row r="741" ht="15.75" customHeight="1">
      <c r="A741" s="4"/>
      <c r="B741" s="4"/>
      <c r="C741" s="4"/>
      <c r="D741" s="4"/>
      <c r="E741" s="4"/>
      <c r="F741" s="4"/>
    </row>
    <row r="742" ht="15.75" customHeight="1">
      <c r="A742" s="4"/>
      <c r="B742" s="4"/>
      <c r="C742" s="4"/>
      <c r="D742" s="4"/>
      <c r="E742" s="4"/>
      <c r="F742" s="4"/>
    </row>
    <row r="743" ht="15.75" customHeight="1">
      <c r="A743" s="4"/>
      <c r="B743" s="4"/>
      <c r="C743" s="4"/>
      <c r="D743" s="4"/>
      <c r="E743" s="4"/>
      <c r="F743" s="4"/>
    </row>
    <row r="744" ht="15.75" customHeight="1">
      <c r="A744" s="4"/>
      <c r="B744" s="4"/>
      <c r="C744" s="4"/>
      <c r="D744" s="4"/>
      <c r="E744" s="4"/>
      <c r="F744" s="4"/>
    </row>
    <row r="745" ht="15.75" customHeight="1">
      <c r="A745" s="4"/>
      <c r="B745" s="4"/>
      <c r="C745" s="4"/>
      <c r="D745" s="4"/>
      <c r="E745" s="4"/>
      <c r="F745" s="4"/>
    </row>
    <row r="746" ht="15.75" customHeight="1">
      <c r="A746" s="4"/>
      <c r="B746" s="4"/>
      <c r="C746" s="4"/>
      <c r="D746" s="4"/>
      <c r="E746" s="4"/>
      <c r="F746" s="4"/>
    </row>
    <row r="747" ht="15.75" customHeight="1">
      <c r="A747" s="4"/>
      <c r="B747" s="4"/>
      <c r="C747" s="4"/>
      <c r="D747" s="4"/>
      <c r="E747" s="4"/>
      <c r="F747" s="4"/>
    </row>
    <row r="748" ht="15.75" customHeight="1">
      <c r="A748" s="4"/>
      <c r="B748" s="4"/>
      <c r="C748" s="4"/>
      <c r="D748" s="4"/>
      <c r="E748" s="4"/>
      <c r="F748" s="4"/>
    </row>
    <row r="749" ht="15.75" customHeight="1">
      <c r="A749" s="4"/>
      <c r="B749" s="4"/>
      <c r="C749" s="4"/>
      <c r="D749" s="4"/>
      <c r="E749" s="4"/>
      <c r="F749" s="4"/>
    </row>
    <row r="750" ht="15.75" customHeight="1">
      <c r="A750" s="4"/>
      <c r="B750" s="4"/>
      <c r="C750" s="4"/>
      <c r="D750" s="4"/>
      <c r="E750" s="4"/>
      <c r="F750" s="4"/>
    </row>
    <row r="751" ht="15.75" customHeight="1">
      <c r="A751" s="4"/>
      <c r="B751" s="4"/>
      <c r="C751" s="4"/>
      <c r="D751" s="4"/>
      <c r="E751" s="4"/>
      <c r="F751" s="4"/>
    </row>
    <row r="752" ht="15.75" customHeight="1">
      <c r="A752" s="4"/>
      <c r="B752" s="4"/>
      <c r="C752" s="4"/>
      <c r="D752" s="4"/>
      <c r="E752" s="4"/>
      <c r="F752" s="4"/>
    </row>
    <row r="753" ht="15.75" customHeight="1">
      <c r="A753" s="4"/>
      <c r="B753" s="4"/>
      <c r="C753" s="4"/>
      <c r="D753" s="4"/>
      <c r="E753" s="4"/>
      <c r="F753" s="4"/>
    </row>
    <row r="754" ht="15.75" customHeight="1">
      <c r="A754" s="4"/>
      <c r="B754" s="4"/>
      <c r="C754" s="4"/>
      <c r="D754" s="4"/>
      <c r="E754" s="4"/>
      <c r="F754" s="4"/>
    </row>
    <row r="755" ht="15.75" customHeight="1">
      <c r="A755" s="4"/>
      <c r="B755" s="4"/>
      <c r="C755" s="4"/>
      <c r="D755" s="4"/>
      <c r="E755" s="4"/>
      <c r="F755" s="4"/>
    </row>
    <row r="756" ht="15.75" customHeight="1">
      <c r="A756" s="4"/>
      <c r="B756" s="4"/>
      <c r="C756" s="4"/>
      <c r="D756" s="4"/>
      <c r="E756" s="4"/>
      <c r="F756" s="4"/>
    </row>
    <row r="757" ht="15.75" customHeight="1">
      <c r="A757" s="4"/>
      <c r="B757" s="4"/>
      <c r="C757" s="4"/>
      <c r="D757" s="4"/>
      <c r="E757" s="4"/>
      <c r="F757" s="4"/>
    </row>
    <row r="758" ht="15.75" customHeight="1">
      <c r="A758" s="4"/>
      <c r="B758" s="4"/>
      <c r="C758" s="4"/>
      <c r="D758" s="4"/>
      <c r="E758" s="4"/>
      <c r="F758" s="4"/>
    </row>
    <row r="759" ht="15.75" customHeight="1">
      <c r="A759" s="4"/>
      <c r="B759" s="4"/>
      <c r="C759" s="4"/>
      <c r="D759" s="4"/>
      <c r="E759" s="4"/>
      <c r="F759" s="4"/>
    </row>
    <row r="760" ht="15.75" customHeight="1">
      <c r="A760" s="4"/>
      <c r="B760" s="4"/>
      <c r="C760" s="4"/>
      <c r="D760" s="4"/>
      <c r="E760" s="4"/>
      <c r="F760" s="4"/>
    </row>
    <row r="761" ht="15.75" customHeight="1">
      <c r="A761" s="4"/>
      <c r="B761" s="4"/>
      <c r="C761" s="4"/>
      <c r="D761" s="4"/>
      <c r="E761" s="4"/>
      <c r="F761" s="4"/>
    </row>
    <row r="762" ht="15.75" customHeight="1">
      <c r="A762" s="4"/>
      <c r="B762" s="4"/>
      <c r="C762" s="4"/>
      <c r="D762" s="4"/>
      <c r="E762" s="4"/>
      <c r="F762" s="4"/>
    </row>
    <row r="763" ht="15.75" customHeight="1">
      <c r="A763" s="4"/>
      <c r="B763" s="4"/>
      <c r="C763" s="4"/>
      <c r="D763" s="4"/>
      <c r="E763" s="4"/>
      <c r="F763" s="4"/>
    </row>
    <row r="764" ht="15.75" customHeight="1">
      <c r="A764" s="4"/>
      <c r="B764" s="4"/>
      <c r="C764" s="4"/>
      <c r="D764" s="4"/>
      <c r="E764" s="4"/>
      <c r="F764" s="4"/>
    </row>
    <row r="765" ht="15.75" customHeight="1">
      <c r="A765" s="4"/>
      <c r="B765" s="4"/>
      <c r="C765" s="4"/>
      <c r="D765" s="4"/>
      <c r="E765" s="4"/>
      <c r="F765" s="4"/>
    </row>
    <row r="766" ht="15.75" customHeight="1">
      <c r="A766" s="4"/>
      <c r="B766" s="4"/>
      <c r="C766" s="4"/>
      <c r="D766" s="4"/>
      <c r="E766" s="4"/>
      <c r="F766" s="4"/>
    </row>
    <row r="767" ht="15.75" customHeight="1">
      <c r="A767" s="4"/>
      <c r="B767" s="4"/>
      <c r="C767" s="4"/>
      <c r="D767" s="4"/>
      <c r="E767" s="4"/>
      <c r="F767" s="4"/>
    </row>
    <row r="768" ht="15.75" customHeight="1">
      <c r="A768" s="4"/>
      <c r="B768" s="4"/>
      <c r="C768" s="4"/>
      <c r="D768" s="4"/>
      <c r="E768" s="4"/>
      <c r="F768" s="4"/>
    </row>
    <row r="769" ht="15.75" customHeight="1">
      <c r="A769" s="4"/>
      <c r="B769" s="4"/>
      <c r="C769" s="4"/>
      <c r="D769" s="4"/>
      <c r="E769" s="4"/>
      <c r="F769" s="4"/>
    </row>
    <row r="770" ht="15.75" customHeight="1">
      <c r="A770" s="4"/>
      <c r="B770" s="4"/>
      <c r="C770" s="4"/>
      <c r="D770" s="4"/>
      <c r="E770" s="4"/>
      <c r="F770" s="4"/>
    </row>
    <row r="771" ht="15.75" customHeight="1">
      <c r="A771" s="4"/>
      <c r="B771" s="4"/>
      <c r="C771" s="4"/>
      <c r="D771" s="4"/>
      <c r="E771" s="4"/>
      <c r="F771" s="4"/>
    </row>
    <row r="772" ht="15.75" customHeight="1">
      <c r="A772" s="4"/>
      <c r="B772" s="4"/>
      <c r="C772" s="4"/>
      <c r="D772" s="4"/>
      <c r="E772" s="4"/>
      <c r="F772" s="4"/>
    </row>
    <row r="773" ht="15.75" customHeight="1">
      <c r="A773" s="4"/>
      <c r="B773" s="4"/>
      <c r="C773" s="4"/>
      <c r="D773" s="4"/>
      <c r="E773" s="4"/>
      <c r="F773" s="4"/>
    </row>
    <row r="774" ht="15.75" customHeight="1">
      <c r="A774" s="4"/>
      <c r="B774" s="4"/>
      <c r="C774" s="4"/>
      <c r="D774" s="4"/>
      <c r="E774" s="4"/>
      <c r="F774" s="4"/>
    </row>
    <row r="775" ht="15.75" customHeight="1">
      <c r="A775" s="4"/>
      <c r="B775" s="4"/>
      <c r="C775" s="4"/>
      <c r="D775" s="4"/>
      <c r="E775" s="4"/>
      <c r="F775" s="4"/>
    </row>
    <row r="776" ht="15.75" customHeight="1">
      <c r="A776" s="4"/>
      <c r="B776" s="4"/>
      <c r="C776" s="4"/>
      <c r="D776" s="4"/>
      <c r="E776" s="4"/>
      <c r="F776" s="4"/>
    </row>
    <row r="777" ht="15.75" customHeight="1">
      <c r="A777" s="4"/>
      <c r="B777" s="4"/>
      <c r="C777" s="4"/>
      <c r="D777" s="4"/>
      <c r="E777" s="4"/>
      <c r="F777" s="4"/>
    </row>
    <row r="778" ht="15.75" customHeight="1">
      <c r="A778" s="4"/>
      <c r="B778" s="4"/>
      <c r="C778" s="4"/>
      <c r="D778" s="4"/>
      <c r="E778" s="4"/>
      <c r="F778" s="4"/>
    </row>
    <row r="779" ht="15.75" customHeight="1">
      <c r="A779" s="4"/>
      <c r="B779" s="4"/>
      <c r="C779" s="4"/>
      <c r="D779" s="4"/>
      <c r="E779" s="4"/>
      <c r="F779" s="4"/>
    </row>
    <row r="780" ht="15.75" customHeight="1">
      <c r="A780" s="4"/>
      <c r="B780" s="4"/>
      <c r="C780" s="4"/>
      <c r="D780" s="4"/>
      <c r="E780" s="4"/>
      <c r="F780" s="4"/>
    </row>
    <row r="781" ht="15.75" customHeight="1">
      <c r="A781" s="4"/>
      <c r="B781" s="4"/>
      <c r="C781" s="4"/>
      <c r="D781" s="4"/>
      <c r="E781" s="4"/>
      <c r="F781" s="4"/>
    </row>
    <row r="782" ht="15.75" customHeight="1">
      <c r="A782" s="4"/>
      <c r="B782" s="4"/>
      <c r="C782" s="4"/>
      <c r="D782" s="4"/>
      <c r="E782" s="4"/>
      <c r="F782" s="4"/>
    </row>
    <row r="783" ht="15.75" customHeight="1">
      <c r="A783" s="4"/>
      <c r="B783" s="4"/>
      <c r="C783" s="4"/>
      <c r="D783" s="4"/>
      <c r="E783" s="4"/>
      <c r="F783" s="4"/>
    </row>
    <row r="784" ht="15.75" customHeight="1">
      <c r="A784" s="4"/>
      <c r="B784" s="4"/>
      <c r="C784" s="4"/>
      <c r="D784" s="4"/>
      <c r="E784" s="4"/>
      <c r="F784" s="4"/>
    </row>
    <row r="785" ht="15.75" customHeight="1">
      <c r="A785" s="4"/>
      <c r="B785" s="4"/>
      <c r="C785" s="4"/>
      <c r="D785" s="4"/>
      <c r="E785" s="4"/>
      <c r="F785" s="4"/>
    </row>
    <row r="786" ht="15.75" customHeight="1">
      <c r="A786" s="4"/>
      <c r="B786" s="4"/>
      <c r="C786" s="4"/>
      <c r="D786" s="4"/>
      <c r="E786" s="4"/>
      <c r="F786" s="4"/>
    </row>
    <row r="787" ht="15.75" customHeight="1">
      <c r="A787" s="4"/>
      <c r="B787" s="4"/>
      <c r="C787" s="4"/>
      <c r="D787" s="4"/>
      <c r="E787" s="4"/>
      <c r="F787" s="4"/>
    </row>
    <row r="788" ht="15.75" customHeight="1">
      <c r="A788" s="4"/>
      <c r="B788" s="4"/>
      <c r="C788" s="4"/>
      <c r="D788" s="4"/>
      <c r="E788" s="4"/>
      <c r="F788" s="4"/>
    </row>
    <row r="789" ht="15.75" customHeight="1">
      <c r="A789" s="4"/>
      <c r="B789" s="4"/>
      <c r="C789" s="4"/>
      <c r="D789" s="4"/>
      <c r="E789" s="4"/>
      <c r="F789" s="4"/>
    </row>
    <row r="790" ht="15.75" customHeight="1">
      <c r="A790" s="4"/>
      <c r="B790" s="4"/>
      <c r="C790" s="4"/>
      <c r="D790" s="4"/>
      <c r="E790" s="4"/>
      <c r="F790" s="4"/>
    </row>
    <row r="791" ht="15.75" customHeight="1">
      <c r="A791" s="4"/>
      <c r="B791" s="4"/>
      <c r="C791" s="4"/>
      <c r="D791" s="4"/>
      <c r="E791" s="4"/>
      <c r="F791" s="4"/>
    </row>
    <row r="792" ht="15.75" customHeight="1">
      <c r="A792" s="4"/>
      <c r="B792" s="4"/>
      <c r="C792" s="4"/>
      <c r="D792" s="4"/>
      <c r="E792" s="4"/>
      <c r="F792" s="4"/>
    </row>
    <row r="793" ht="15.75" customHeight="1">
      <c r="A793" s="4"/>
      <c r="B793" s="4"/>
      <c r="C793" s="4"/>
      <c r="D793" s="4"/>
      <c r="E793" s="4"/>
      <c r="F793" s="4"/>
    </row>
    <row r="794" ht="15.75" customHeight="1">
      <c r="A794" s="4"/>
      <c r="B794" s="4"/>
      <c r="C794" s="4"/>
      <c r="D794" s="4"/>
      <c r="E794" s="4"/>
      <c r="F794" s="4"/>
    </row>
    <row r="795" ht="15.75" customHeight="1">
      <c r="A795" s="4"/>
      <c r="B795" s="4"/>
      <c r="C795" s="4"/>
      <c r="D795" s="4"/>
      <c r="E795" s="4"/>
      <c r="F795" s="4"/>
    </row>
    <row r="796" ht="15.75" customHeight="1">
      <c r="A796" s="4"/>
      <c r="B796" s="4"/>
      <c r="C796" s="4"/>
      <c r="D796" s="4"/>
      <c r="E796" s="4"/>
      <c r="F796" s="4"/>
    </row>
    <row r="797" ht="15.75" customHeight="1">
      <c r="A797" s="4"/>
      <c r="B797" s="4"/>
      <c r="C797" s="4"/>
      <c r="D797" s="4"/>
      <c r="E797" s="4"/>
      <c r="F797" s="4"/>
    </row>
    <row r="798" ht="15.75" customHeight="1">
      <c r="A798" s="4"/>
      <c r="B798" s="4"/>
      <c r="C798" s="4"/>
      <c r="D798" s="4"/>
      <c r="E798" s="4"/>
      <c r="F798" s="4"/>
    </row>
    <row r="799" ht="15.75" customHeight="1">
      <c r="A799" s="4"/>
      <c r="B799" s="4"/>
      <c r="C799" s="4"/>
      <c r="D799" s="4"/>
      <c r="E799" s="4"/>
      <c r="F799" s="4"/>
    </row>
    <row r="800" ht="15.75" customHeight="1">
      <c r="A800" s="4"/>
      <c r="B800" s="4"/>
      <c r="C800" s="4"/>
      <c r="D800" s="4"/>
      <c r="E800" s="4"/>
      <c r="F800" s="4"/>
    </row>
    <row r="801" ht="15.75" customHeight="1">
      <c r="A801" s="4"/>
      <c r="B801" s="4"/>
      <c r="C801" s="4"/>
      <c r="D801" s="4"/>
      <c r="E801" s="4"/>
      <c r="F801" s="4"/>
    </row>
    <row r="802" ht="15.75" customHeight="1">
      <c r="A802" s="4"/>
      <c r="B802" s="4"/>
      <c r="C802" s="4"/>
      <c r="D802" s="4"/>
      <c r="E802" s="4"/>
      <c r="F802" s="4"/>
    </row>
    <row r="803" ht="15.75" customHeight="1">
      <c r="A803" s="4"/>
      <c r="B803" s="4"/>
      <c r="C803" s="4"/>
      <c r="D803" s="4"/>
      <c r="E803" s="4"/>
      <c r="F803" s="4"/>
    </row>
    <row r="804" ht="15.75" customHeight="1">
      <c r="A804" s="4"/>
      <c r="B804" s="4"/>
      <c r="C804" s="4"/>
      <c r="D804" s="4"/>
      <c r="E804" s="4"/>
      <c r="F804" s="4"/>
    </row>
    <row r="805" ht="15.75" customHeight="1">
      <c r="A805" s="4"/>
      <c r="B805" s="4"/>
      <c r="C805" s="4"/>
      <c r="D805" s="4"/>
      <c r="E805" s="4"/>
      <c r="F805" s="4"/>
    </row>
    <row r="806" ht="15.75" customHeight="1">
      <c r="A806" s="4"/>
      <c r="B806" s="4"/>
      <c r="C806" s="4"/>
      <c r="D806" s="4"/>
      <c r="E806" s="4"/>
      <c r="F806" s="4"/>
    </row>
    <row r="807" ht="15.75" customHeight="1">
      <c r="A807" s="4"/>
      <c r="B807" s="4"/>
      <c r="C807" s="4"/>
      <c r="D807" s="4"/>
      <c r="E807" s="4"/>
      <c r="F807" s="4"/>
    </row>
    <row r="808" ht="15.75" customHeight="1">
      <c r="A808" s="4"/>
      <c r="B808" s="4"/>
      <c r="C808" s="4"/>
      <c r="D808" s="4"/>
      <c r="E808" s="4"/>
      <c r="F808" s="4"/>
    </row>
    <row r="809" ht="15.75" customHeight="1">
      <c r="A809" s="4"/>
      <c r="B809" s="4"/>
      <c r="C809" s="4"/>
      <c r="D809" s="4"/>
      <c r="E809" s="4"/>
      <c r="F809" s="4"/>
    </row>
    <row r="810" ht="15.75" customHeight="1">
      <c r="A810" s="4"/>
      <c r="B810" s="4"/>
      <c r="C810" s="4"/>
      <c r="D810" s="4"/>
      <c r="E810" s="4"/>
      <c r="F810" s="4"/>
    </row>
    <row r="811" ht="15.75" customHeight="1">
      <c r="A811" s="4"/>
      <c r="B811" s="4"/>
      <c r="C811" s="4"/>
      <c r="D811" s="4"/>
      <c r="E811" s="4"/>
      <c r="F811" s="4"/>
    </row>
    <row r="812" ht="15.75" customHeight="1">
      <c r="A812" s="4"/>
      <c r="B812" s="4"/>
      <c r="C812" s="4"/>
      <c r="D812" s="4"/>
      <c r="E812" s="4"/>
      <c r="F812" s="4"/>
    </row>
    <row r="813" ht="15.75" customHeight="1">
      <c r="A813" s="4"/>
      <c r="B813" s="4"/>
      <c r="C813" s="4"/>
      <c r="D813" s="4"/>
      <c r="E813" s="4"/>
      <c r="F813" s="4"/>
    </row>
    <row r="814" ht="15.75" customHeight="1">
      <c r="A814" s="4"/>
      <c r="B814" s="4"/>
      <c r="C814" s="4"/>
      <c r="D814" s="4"/>
      <c r="E814" s="4"/>
      <c r="F814" s="4"/>
    </row>
    <row r="815" ht="15.75" customHeight="1">
      <c r="A815" s="4"/>
      <c r="B815" s="4"/>
      <c r="C815" s="4"/>
      <c r="D815" s="4"/>
      <c r="E815" s="4"/>
      <c r="F815" s="4"/>
    </row>
    <row r="816" ht="15.75" customHeight="1">
      <c r="A816" s="4"/>
      <c r="B816" s="4"/>
      <c r="C816" s="4"/>
      <c r="D816" s="4"/>
      <c r="E816" s="4"/>
      <c r="F816" s="4"/>
    </row>
    <row r="817" ht="15.75" customHeight="1">
      <c r="A817" s="4"/>
      <c r="B817" s="4"/>
      <c r="C817" s="4"/>
      <c r="D817" s="4"/>
      <c r="E817" s="4"/>
      <c r="F817" s="4"/>
    </row>
    <row r="818" ht="15.75" customHeight="1">
      <c r="A818" s="4"/>
      <c r="B818" s="4"/>
      <c r="C818" s="4"/>
      <c r="D818" s="4"/>
      <c r="E818" s="4"/>
      <c r="F818" s="4"/>
    </row>
    <row r="819" ht="15.75" customHeight="1">
      <c r="A819" s="4"/>
      <c r="B819" s="4"/>
      <c r="C819" s="4"/>
      <c r="D819" s="4"/>
      <c r="E819" s="4"/>
      <c r="F819" s="4"/>
    </row>
    <row r="820" ht="15.75" customHeight="1">
      <c r="A820" s="4"/>
      <c r="B820" s="4"/>
      <c r="C820" s="4"/>
      <c r="D820" s="4"/>
      <c r="E820" s="4"/>
      <c r="F820" s="4"/>
    </row>
    <row r="821" ht="15.75" customHeight="1">
      <c r="A821" s="4"/>
      <c r="B821" s="4"/>
      <c r="C821" s="4"/>
      <c r="D821" s="4"/>
      <c r="E821" s="4"/>
      <c r="F821" s="4"/>
    </row>
    <row r="822" ht="15.75" customHeight="1">
      <c r="A822" s="4"/>
      <c r="B822" s="4"/>
      <c r="C822" s="4"/>
      <c r="D822" s="4"/>
      <c r="E822" s="4"/>
      <c r="F822" s="4"/>
    </row>
    <row r="823" ht="15.75" customHeight="1">
      <c r="A823" s="4"/>
      <c r="B823" s="4"/>
      <c r="C823" s="4"/>
      <c r="D823" s="4"/>
      <c r="E823" s="4"/>
      <c r="F823" s="4"/>
    </row>
    <row r="824" ht="15.75" customHeight="1">
      <c r="A824" s="4"/>
      <c r="B824" s="4"/>
      <c r="C824" s="4"/>
      <c r="D824" s="4"/>
      <c r="E824" s="4"/>
      <c r="F824" s="4"/>
    </row>
    <row r="825" ht="15.75" customHeight="1">
      <c r="A825" s="4"/>
      <c r="B825" s="4"/>
      <c r="C825" s="4"/>
      <c r="D825" s="4"/>
      <c r="E825" s="4"/>
      <c r="F825" s="4"/>
    </row>
    <row r="826" ht="15.75" customHeight="1">
      <c r="A826" s="4"/>
      <c r="B826" s="4"/>
      <c r="C826" s="4"/>
      <c r="D826" s="4"/>
      <c r="E826" s="4"/>
      <c r="F826" s="4"/>
    </row>
    <row r="827" ht="15.75" customHeight="1">
      <c r="A827" s="4"/>
      <c r="B827" s="4"/>
      <c r="C827" s="4"/>
      <c r="D827" s="4"/>
      <c r="E827" s="4"/>
      <c r="F827" s="4"/>
    </row>
    <row r="828" ht="15.75" customHeight="1">
      <c r="A828" s="4"/>
      <c r="B828" s="4"/>
      <c r="C828" s="4"/>
      <c r="D828" s="4"/>
      <c r="E828" s="4"/>
      <c r="F828" s="4"/>
    </row>
    <row r="829" ht="15.75" customHeight="1">
      <c r="A829" s="4"/>
      <c r="B829" s="4"/>
      <c r="C829" s="4"/>
      <c r="D829" s="4"/>
      <c r="E829" s="4"/>
      <c r="F829" s="4"/>
    </row>
    <row r="830" ht="15.75" customHeight="1">
      <c r="A830" s="4"/>
      <c r="B830" s="4"/>
      <c r="C830" s="4"/>
      <c r="D830" s="4"/>
      <c r="E830" s="4"/>
      <c r="F830" s="4"/>
    </row>
    <row r="831" ht="15.75" customHeight="1">
      <c r="A831" s="4"/>
      <c r="B831" s="4"/>
      <c r="C831" s="4"/>
      <c r="D831" s="4"/>
      <c r="E831" s="4"/>
      <c r="F831" s="4"/>
    </row>
    <row r="832" ht="15.75" customHeight="1">
      <c r="A832" s="4"/>
      <c r="B832" s="4"/>
      <c r="C832" s="4"/>
      <c r="D832" s="4"/>
      <c r="E832" s="4"/>
      <c r="F832" s="4"/>
    </row>
    <row r="833" ht="15.75" customHeight="1">
      <c r="A833" s="4"/>
      <c r="B833" s="4"/>
      <c r="C833" s="4"/>
      <c r="D833" s="4"/>
      <c r="E833" s="4"/>
      <c r="F833" s="4"/>
    </row>
    <row r="834" ht="15.75" customHeight="1">
      <c r="A834" s="4"/>
      <c r="B834" s="4"/>
      <c r="C834" s="4"/>
      <c r="D834" s="4"/>
      <c r="E834" s="4"/>
      <c r="F834" s="4"/>
    </row>
    <row r="835" ht="15.75" customHeight="1">
      <c r="A835" s="4"/>
      <c r="B835" s="4"/>
      <c r="C835" s="4"/>
      <c r="D835" s="4"/>
      <c r="E835" s="4"/>
      <c r="F835" s="4"/>
    </row>
    <row r="836" ht="15.75" customHeight="1">
      <c r="A836" s="4"/>
      <c r="B836" s="4"/>
      <c r="C836" s="4"/>
      <c r="D836" s="4"/>
      <c r="E836" s="4"/>
      <c r="F836" s="4"/>
    </row>
    <row r="837" ht="15.75" customHeight="1">
      <c r="A837" s="4"/>
      <c r="B837" s="4"/>
      <c r="C837" s="4"/>
      <c r="D837" s="4"/>
      <c r="E837" s="4"/>
      <c r="F837" s="4"/>
    </row>
    <row r="838" ht="15.75" customHeight="1">
      <c r="A838" s="4"/>
      <c r="B838" s="4"/>
      <c r="C838" s="4"/>
      <c r="D838" s="4"/>
      <c r="E838" s="4"/>
      <c r="F838" s="4"/>
    </row>
    <row r="839" ht="15.75" customHeight="1">
      <c r="A839" s="4"/>
      <c r="B839" s="4"/>
      <c r="C839" s="4"/>
      <c r="D839" s="4"/>
      <c r="E839" s="4"/>
      <c r="F839" s="4"/>
    </row>
    <row r="840" ht="15.75" customHeight="1">
      <c r="A840" s="4"/>
      <c r="B840" s="4"/>
      <c r="C840" s="4"/>
      <c r="D840" s="4"/>
      <c r="E840" s="4"/>
      <c r="F840" s="4"/>
    </row>
    <row r="841" ht="15.75" customHeight="1">
      <c r="A841" s="4"/>
      <c r="B841" s="4"/>
      <c r="C841" s="4"/>
      <c r="D841" s="4"/>
      <c r="E841" s="4"/>
      <c r="F841" s="4"/>
    </row>
    <row r="842" ht="15.75" customHeight="1">
      <c r="A842" s="4"/>
      <c r="B842" s="4"/>
      <c r="C842" s="4"/>
      <c r="D842" s="4"/>
      <c r="E842" s="4"/>
      <c r="F842" s="4"/>
    </row>
    <row r="843" ht="15.75" customHeight="1">
      <c r="A843" s="4"/>
      <c r="B843" s="4"/>
      <c r="C843" s="4"/>
      <c r="D843" s="4"/>
      <c r="E843" s="4"/>
      <c r="F843" s="4"/>
    </row>
    <row r="844" ht="15.75" customHeight="1">
      <c r="A844" s="4"/>
      <c r="B844" s="4"/>
      <c r="C844" s="4"/>
      <c r="D844" s="4"/>
      <c r="E844" s="4"/>
      <c r="F844" s="4"/>
    </row>
    <row r="845" ht="15.75" customHeight="1">
      <c r="A845" s="4"/>
      <c r="B845" s="4"/>
      <c r="C845" s="4"/>
      <c r="D845" s="4"/>
      <c r="E845" s="4"/>
      <c r="F845" s="4"/>
    </row>
    <row r="846" ht="15.75" customHeight="1">
      <c r="A846" s="4"/>
      <c r="B846" s="4"/>
      <c r="C846" s="4"/>
      <c r="D846" s="4"/>
      <c r="E846" s="4"/>
      <c r="F846" s="4"/>
    </row>
    <row r="847" ht="15.75" customHeight="1">
      <c r="A847" s="4"/>
      <c r="B847" s="4"/>
      <c r="C847" s="4"/>
      <c r="D847" s="4"/>
      <c r="E847" s="4"/>
      <c r="F847" s="4"/>
    </row>
    <row r="848" ht="15.75" customHeight="1">
      <c r="A848" s="4"/>
      <c r="B848" s="4"/>
      <c r="C848" s="4"/>
      <c r="D848" s="4"/>
      <c r="E848" s="4"/>
      <c r="F848" s="4"/>
    </row>
    <row r="849" ht="15.75" customHeight="1">
      <c r="A849" s="4"/>
      <c r="B849" s="4"/>
      <c r="C849" s="4"/>
      <c r="D849" s="4"/>
      <c r="E849" s="4"/>
      <c r="F849" s="4"/>
    </row>
    <row r="850" ht="15.75" customHeight="1">
      <c r="A850" s="4"/>
      <c r="B850" s="4"/>
      <c r="C850" s="4"/>
      <c r="D850" s="4"/>
      <c r="E850" s="4"/>
      <c r="F850" s="4"/>
    </row>
    <row r="851" ht="15.75" customHeight="1">
      <c r="A851" s="4"/>
      <c r="B851" s="4"/>
      <c r="C851" s="4"/>
      <c r="D851" s="4"/>
      <c r="E851" s="4"/>
      <c r="F851" s="4"/>
    </row>
    <row r="852" ht="15.75" customHeight="1">
      <c r="A852" s="4"/>
      <c r="B852" s="4"/>
      <c r="C852" s="4"/>
      <c r="D852" s="4"/>
      <c r="E852" s="4"/>
      <c r="F852" s="4"/>
    </row>
    <row r="853" ht="15.75" customHeight="1">
      <c r="A853" s="4"/>
      <c r="B853" s="4"/>
      <c r="C853" s="4"/>
      <c r="D853" s="4"/>
      <c r="E853" s="4"/>
      <c r="F853" s="4"/>
    </row>
    <row r="854" ht="15.75" customHeight="1">
      <c r="A854" s="4"/>
      <c r="B854" s="4"/>
      <c r="C854" s="4"/>
      <c r="D854" s="4"/>
      <c r="E854" s="4"/>
      <c r="F854" s="4"/>
    </row>
    <row r="855" ht="15.75" customHeight="1">
      <c r="A855" s="4"/>
      <c r="B855" s="4"/>
      <c r="C855" s="4"/>
      <c r="D855" s="4"/>
      <c r="E855" s="4"/>
      <c r="F855" s="4"/>
    </row>
    <row r="856" ht="15.75" customHeight="1">
      <c r="A856" s="4"/>
      <c r="B856" s="4"/>
      <c r="C856" s="4"/>
      <c r="D856" s="4"/>
      <c r="E856" s="4"/>
      <c r="F856" s="4"/>
    </row>
    <row r="857" ht="15.75" customHeight="1">
      <c r="A857" s="4"/>
      <c r="B857" s="4"/>
      <c r="C857" s="4"/>
      <c r="D857" s="4"/>
      <c r="E857" s="4"/>
      <c r="F857" s="4"/>
    </row>
    <row r="858" ht="15.75" customHeight="1">
      <c r="A858" s="4"/>
      <c r="B858" s="4"/>
      <c r="C858" s="4"/>
      <c r="D858" s="4"/>
      <c r="E858" s="4"/>
      <c r="F858" s="4"/>
    </row>
    <row r="859" ht="15.75" customHeight="1">
      <c r="A859" s="4"/>
      <c r="B859" s="4"/>
      <c r="C859" s="4"/>
      <c r="D859" s="4"/>
      <c r="E859" s="4"/>
      <c r="F859" s="4"/>
    </row>
    <row r="860" ht="15.75" customHeight="1">
      <c r="A860" s="4"/>
      <c r="B860" s="4"/>
      <c r="C860" s="4"/>
      <c r="D860" s="4"/>
      <c r="E860" s="4"/>
      <c r="F860" s="4"/>
    </row>
    <row r="861" ht="15.75" customHeight="1">
      <c r="A861" s="4"/>
      <c r="B861" s="4"/>
      <c r="C861" s="4"/>
      <c r="D861" s="4"/>
      <c r="E861" s="4"/>
      <c r="F861" s="4"/>
    </row>
    <row r="862" ht="15.75" customHeight="1">
      <c r="A862" s="4"/>
      <c r="B862" s="4"/>
      <c r="C862" s="4"/>
      <c r="D862" s="4"/>
      <c r="E862" s="4"/>
      <c r="F862" s="4"/>
    </row>
    <row r="863" ht="15.75" customHeight="1">
      <c r="A863" s="4"/>
      <c r="B863" s="4"/>
      <c r="C863" s="4"/>
      <c r="D863" s="4"/>
      <c r="E863" s="4"/>
      <c r="F863" s="4"/>
    </row>
    <row r="864" ht="15.75" customHeight="1">
      <c r="A864" s="4"/>
      <c r="B864" s="4"/>
      <c r="C864" s="4"/>
      <c r="D864" s="4"/>
      <c r="E864" s="4"/>
      <c r="F864" s="4"/>
    </row>
    <row r="865" ht="15.75" customHeight="1">
      <c r="A865" s="4"/>
      <c r="B865" s="4"/>
      <c r="C865" s="4"/>
      <c r="D865" s="4"/>
      <c r="E865" s="4"/>
      <c r="F865" s="4"/>
    </row>
    <row r="866" ht="15.75" customHeight="1">
      <c r="A866" s="4"/>
      <c r="B866" s="4"/>
      <c r="C866" s="4"/>
      <c r="D866" s="4"/>
      <c r="E866" s="4"/>
      <c r="F866" s="4"/>
    </row>
    <row r="867" ht="15.75" customHeight="1">
      <c r="A867" s="4"/>
      <c r="B867" s="4"/>
      <c r="C867" s="4"/>
      <c r="D867" s="4"/>
      <c r="E867" s="4"/>
      <c r="F867" s="4"/>
    </row>
    <row r="868" ht="15.75" customHeight="1">
      <c r="A868" s="4"/>
      <c r="B868" s="4"/>
      <c r="C868" s="4"/>
      <c r="D868" s="4"/>
      <c r="E868" s="4"/>
      <c r="F868" s="4"/>
    </row>
    <row r="869" ht="15.75" customHeight="1">
      <c r="A869" s="4"/>
      <c r="B869" s="4"/>
      <c r="C869" s="4"/>
      <c r="D869" s="4"/>
      <c r="E869" s="4"/>
      <c r="F869" s="4"/>
    </row>
    <row r="870" ht="15.75" customHeight="1">
      <c r="A870" s="4"/>
      <c r="B870" s="4"/>
      <c r="C870" s="4"/>
      <c r="D870" s="4"/>
      <c r="E870" s="4"/>
      <c r="F870" s="4"/>
    </row>
    <row r="871" ht="15.75" customHeight="1">
      <c r="A871" s="4"/>
      <c r="B871" s="4"/>
      <c r="C871" s="4"/>
      <c r="D871" s="4"/>
      <c r="E871" s="4"/>
      <c r="F871" s="4"/>
    </row>
    <row r="872" ht="15.75" customHeight="1">
      <c r="A872" s="4"/>
      <c r="B872" s="4"/>
      <c r="C872" s="4"/>
      <c r="D872" s="4"/>
      <c r="E872" s="4"/>
      <c r="F872" s="4"/>
    </row>
    <row r="873" ht="15.75" customHeight="1">
      <c r="A873" s="4"/>
      <c r="B873" s="4"/>
      <c r="C873" s="4"/>
      <c r="D873" s="4"/>
      <c r="E873" s="4"/>
      <c r="F873" s="4"/>
    </row>
    <row r="874" ht="15.75" customHeight="1">
      <c r="A874" s="4"/>
      <c r="B874" s="4"/>
      <c r="C874" s="4"/>
      <c r="D874" s="4"/>
      <c r="E874" s="4"/>
      <c r="F874" s="4"/>
    </row>
    <row r="875" ht="15.75" customHeight="1">
      <c r="A875" s="4"/>
      <c r="B875" s="4"/>
      <c r="C875" s="4"/>
      <c r="D875" s="4"/>
      <c r="E875" s="4"/>
      <c r="F875" s="4"/>
    </row>
    <row r="876" ht="15.75" customHeight="1">
      <c r="A876" s="4"/>
      <c r="B876" s="4"/>
      <c r="C876" s="4"/>
      <c r="D876" s="4"/>
      <c r="E876" s="4"/>
      <c r="F876" s="4"/>
    </row>
    <row r="877" ht="15.75" customHeight="1">
      <c r="A877" s="4"/>
      <c r="B877" s="4"/>
      <c r="C877" s="4"/>
      <c r="D877" s="4"/>
      <c r="E877" s="4"/>
      <c r="F877" s="4"/>
    </row>
    <row r="878" ht="15.75" customHeight="1">
      <c r="A878" s="4"/>
      <c r="B878" s="4"/>
      <c r="C878" s="4"/>
      <c r="D878" s="4"/>
      <c r="E878" s="4"/>
      <c r="F878" s="4"/>
    </row>
    <row r="879" ht="15.75" customHeight="1">
      <c r="A879" s="4"/>
      <c r="B879" s="4"/>
      <c r="C879" s="4"/>
      <c r="D879" s="4"/>
      <c r="E879" s="4"/>
      <c r="F879" s="4"/>
    </row>
    <row r="880" ht="15.75" customHeight="1">
      <c r="A880" s="4"/>
      <c r="B880" s="4"/>
      <c r="C880" s="4"/>
      <c r="D880" s="4"/>
      <c r="E880" s="4"/>
      <c r="F880" s="4"/>
    </row>
    <row r="881" ht="15.75" customHeight="1">
      <c r="A881" s="4"/>
      <c r="B881" s="4"/>
      <c r="C881" s="4"/>
      <c r="D881" s="4"/>
      <c r="E881" s="4"/>
      <c r="F881" s="4"/>
    </row>
    <row r="882" ht="15.75" customHeight="1">
      <c r="A882" s="4"/>
      <c r="B882" s="4"/>
      <c r="C882" s="4"/>
      <c r="D882" s="4"/>
      <c r="E882" s="4"/>
      <c r="F882" s="4"/>
    </row>
    <row r="883" ht="15.75" customHeight="1">
      <c r="A883" s="4"/>
      <c r="B883" s="4"/>
      <c r="C883" s="4"/>
      <c r="D883" s="4"/>
      <c r="E883" s="4"/>
      <c r="F883" s="4"/>
    </row>
    <row r="884" ht="15.75" customHeight="1">
      <c r="A884" s="4"/>
      <c r="B884" s="4"/>
      <c r="C884" s="4"/>
      <c r="D884" s="4"/>
      <c r="E884" s="4"/>
      <c r="F884" s="4"/>
    </row>
    <row r="885" ht="15.75" customHeight="1">
      <c r="A885" s="4"/>
      <c r="B885" s="4"/>
      <c r="C885" s="4"/>
      <c r="D885" s="4"/>
      <c r="E885" s="4"/>
      <c r="F885" s="4"/>
    </row>
    <row r="886" ht="15.75" customHeight="1">
      <c r="A886" s="4"/>
      <c r="B886" s="4"/>
      <c r="C886" s="4"/>
      <c r="D886" s="4"/>
      <c r="E886" s="4"/>
      <c r="F886" s="4"/>
    </row>
    <row r="887" ht="15.75" customHeight="1">
      <c r="A887" s="4"/>
      <c r="B887" s="4"/>
      <c r="C887" s="4"/>
      <c r="D887" s="4"/>
      <c r="E887" s="4"/>
      <c r="F887" s="4"/>
    </row>
    <row r="888" ht="15.75" customHeight="1">
      <c r="A888" s="4"/>
      <c r="B888" s="4"/>
      <c r="C888" s="4"/>
      <c r="D888" s="4"/>
      <c r="E888" s="4"/>
      <c r="F888" s="4"/>
    </row>
    <row r="889" ht="15.75" customHeight="1">
      <c r="A889" s="4"/>
      <c r="B889" s="4"/>
      <c r="C889" s="4"/>
      <c r="D889" s="4"/>
      <c r="E889" s="4"/>
      <c r="F889" s="4"/>
    </row>
    <row r="890" ht="15.75" customHeight="1">
      <c r="A890" s="4"/>
      <c r="B890" s="4"/>
      <c r="C890" s="4"/>
      <c r="D890" s="4"/>
      <c r="E890" s="4"/>
      <c r="F890" s="4"/>
    </row>
    <row r="891" ht="15.75" customHeight="1">
      <c r="A891" s="4"/>
      <c r="B891" s="4"/>
      <c r="C891" s="4"/>
      <c r="D891" s="4"/>
      <c r="E891" s="4"/>
      <c r="F891" s="4"/>
    </row>
    <row r="892" ht="15.75" customHeight="1">
      <c r="A892" s="4"/>
      <c r="B892" s="4"/>
      <c r="C892" s="4"/>
      <c r="D892" s="4"/>
      <c r="E892" s="4"/>
      <c r="F892" s="4"/>
    </row>
    <row r="893" ht="15.75" customHeight="1">
      <c r="A893" s="4"/>
      <c r="B893" s="4"/>
      <c r="C893" s="4"/>
      <c r="D893" s="4"/>
      <c r="E893" s="4"/>
      <c r="F893" s="4"/>
    </row>
    <row r="894" ht="15.75" customHeight="1">
      <c r="A894" s="4"/>
      <c r="B894" s="4"/>
      <c r="C894" s="4"/>
      <c r="D894" s="4"/>
      <c r="E894" s="4"/>
      <c r="F894" s="4"/>
    </row>
    <row r="895" ht="15.75" customHeight="1">
      <c r="A895" s="4"/>
      <c r="B895" s="4"/>
      <c r="C895" s="4"/>
      <c r="D895" s="4"/>
      <c r="E895" s="4"/>
      <c r="F895" s="4"/>
    </row>
    <row r="896" ht="15.75" customHeight="1">
      <c r="A896" s="4"/>
      <c r="B896" s="4"/>
      <c r="C896" s="4"/>
      <c r="D896" s="4"/>
      <c r="E896" s="4"/>
      <c r="F896" s="4"/>
    </row>
    <row r="897" ht="15.75" customHeight="1">
      <c r="A897" s="4"/>
      <c r="B897" s="4"/>
      <c r="C897" s="4"/>
      <c r="D897" s="4"/>
      <c r="E897" s="4"/>
      <c r="F897" s="4"/>
    </row>
    <row r="898" ht="15.75" customHeight="1">
      <c r="A898" s="4"/>
      <c r="B898" s="4"/>
      <c r="C898" s="4"/>
      <c r="D898" s="4"/>
      <c r="E898" s="4"/>
      <c r="F898" s="4"/>
    </row>
    <row r="899" ht="15.75" customHeight="1">
      <c r="A899" s="4"/>
      <c r="B899" s="4"/>
      <c r="C899" s="4"/>
      <c r="D899" s="4"/>
      <c r="E899" s="4"/>
      <c r="F899" s="4"/>
    </row>
    <row r="900" ht="15.75" customHeight="1">
      <c r="A900" s="4"/>
      <c r="B900" s="4"/>
      <c r="C900" s="4"/>
      <c r="D900" s="4"/>
      <c r="E900" s="4"/>
      <c r="F900" s="4"/>
    </row>
    <row r="901" ht="15.75" customHeight="1">
      <c r="A901" s="4"/>
      <c r="B901" s="4"/>
      <c r="C901" s="4"/>
      <c r="D901" s="4"/>
      <c r="E901" s="4"/>
      <c r="F901" s="4"/>
    </row>
    <row r="902" ht="15.75" customHeight="1">
      <c r="A902" s="4"/>
      <c r="B902" s="4"/>
      <c r="C902" s="4"/>
      <c r="D902" s="4"/>
      <c r="E902" s="4"/>
      <c r="F902" s="4"/>
    </row>
    <row r="903" ht="15.75" customHeight="1">
      <c r="A903" s="4"/>
      <c r="B903" s="4"/>
      <c r="C903" s="4"/>
      <c r="D903" s="4"/>
      <c r="E903" s="4"/>
      <c r="F903" s="4"/>
    </row>
    <row r="904" ht="15.75" customHeight="1">
      <c r="A904" s="4"/>
      <c r="B904" s="4"/>
      <c r="C904" s="4"/>
      <c r="D904" s="4"/>
      <c r="E904" s="4"/>
      <c r="F904" s="4"/>
    </row>
    <row r="905" ht="15.75" customHeight="1">
      <c r="A905" s="4"/>
      <c r="B905" s="4"/>
      <c r="C905" s="4"/>
      <c r="D905" s="4"/>
      <c r="E905" s="4"/>
      <c r="F905" s="4"/>
    </row>
    <row r="906" ht="15.75" customHeight="1">
      <c r="A906" s="4"/>
      <c r="B906" s="4"/>
      <c r="C906" s="4"/>
      <c r="D906" s="4"/>
      <c r="E906" s="4"/>
      <c r="F906" s="4"/>
    </row>
    <row r="907" ht="15.75" customHeight="1">
      <c r="A907" s="4"/>
      <c r="B907" s="4"/>
      <c r="C907" s="4"/>
      <c r="D907" s="4"/>
      <c r="E907" s="4"/>
      <c r="F907" s="4"/>
    </row>
    <row r="908" ht="15.75" customHeight="1">
      <c r="A908" s="4"/>
      <c r="B908" s="4"/>
      <c r="C908" s="4"/>
      <c r="D908" s="4"/>
      <c r="E908" s="4"/>
      <c r="F908" s="4"/>
    </row>
    <row r="909" ht="15.75" customHeight="1">
      <c r="A909" s="4"/>
      <c r="B909" s="4"/>
      <c r="C909" s="4"/>
      <c r="D909" s="4"/>
      <c r="E909" s="4"/>
      <c r="F909" s="4"/>
    </row>
    <row r="910" ht="15.75" customHeight="1">
      <c r="A910" s="4"/>
      <c r="B910" s="4"/>
      <c r="C910" s="4"/>
      <c r="D910" s="4"/>
      <c r="E910" s="4"/>
      <c r="F910" s="4"/>
    </row>
    <row r="911" ht="15.75" customHeight="1">
      <c r="A911" s="4"/>
      <c r="B911" s="4"/>
      <c r="C911" s="4"/>
      <c r="D911" s="4"/>
      <c r="E911" s="4"/>
      <c r="F911" s="4"/>
    </row>
    <row r="912" ht="15.75" customHeight="1">
      <c r="A912" s="4"/>
      <c r="B912" s="4"/>
      <c r="C912" s="4"/>
      <c r="D912" s="4"/>
      <c r="E912" s="4"/>
      <c r="F912" s="4"/>
    </row>
    <row r="913" ht="15.75" customHeight="1">
      <c r="A913" s="4"/>
      <c r="B913" s="4"/>
      <c r="C913" s="4"/>
      <c r="D913" s="4"/>
      <c r="E913" s="4"/>
      <c r="F913" s="4"/>
    </row>
    <row r="914" ht="15.75" customHeight="1">
      <c r="A914" s="4"/>
      <c r="B914" s="4"/>
      <c r="C914" s="4"/>
      <c r="D914" s="4"/>
      <c r="E914" s="4"/>
      <c r="F914" s="4"/>
    </row>
    <row r="915" ht="15.75" customHeight="1">
      <c r="A915" s="4"/>
      <c r="B915" s="4"/>
      <c r="C915" s="4"/>
      <c r="D915" s="4"/>
      <c r="E915" s="4"/>
      <c r="F915" s="4"/>
    </row>
    <row r="916" ht="15.75" customHeight="1">
      <c r="A916" s="4"/>
      <c r="B916" s="4"/>
      <c r="C916" s="4"/>
      <c r="D916" s="4"/>
      <c r="E916" s="4"/>
      <c r="F916" s="4"/>
    </row>
    <row r="917" ht="15.75" customHeight="1">
      <c r="A917" s="4"/>
      <c r="B917" s="4"/>
      <c r="C917" s="4"/>
      <c r="D917" s="4"/>
      <c r="E917" s="4"/>
      <c r="F917" s="4"/>
    </row>
    <row r="918" ht="15.75" customHeight="1">
      <c r="A918" s="4"/>
      <c r="B918" s="4"/>
      <c r="C918" s="4"/>
      <c r="D918" s="4"/>
      <c r="E918" s="4"/>
      <c r="F918" s="4"/>
    </row>
    <row r="919" ht="15.75" customHeight="1">
      <c r="A919" s="4"/>
      <c r="B919" s="4"/>
      <c r="C919" s="4"/>
      <c r="D919" s="4"/>
      <c r="E919" s="4"/>
      <c r="F919" s="4"/>
    </row>
    <row r="920" ht="15.75" customHeight="1">
      <c r="A920" s="4"/>
      <c r="B920" s="4"/>
      <c r="C920" s="4"/>
      <c r="D920" s="4"/>
      <c r="E920" s="4"/>
      <c r="F920" s="4"/>
    </row>
    <row r="921" ht="15.75" customHeight="1">
      <c r="A921" s="4"/>
      <c r="B921" s="4"/>
      <c r="C921" s="4"/>
      <c r="D921" s="4"/>
      <c r="E921" s="4"/>
      <c r="F921" s="4"/>
    </row>
    <row r="922" ht="15.75" customHeight="1">
      <c r="A922" s="4"/>
      <c r="B922" s="4"/>
      <c r="C922" s="4"/>
      <c r="D922" s="4"/>
      <c r="E922" s="4"/>
      <c r="F922" s="4"/>
    </row>
    <row r="923" ht="15.75" customHeight="1">
      <c r="A923" s="4"/>
      <c r="B923" s="4"/>
      <c r="C923" s="4"/>
      <c r="D923" s="4"/>
      <c r="E923" s="4"/>
      <c r="F923" s="4"/>
    </row>
    <row r="924" ht="15.75" customHeight="1">
      <c r="A924" s="4"/>
      <c r="B924" s="4"/>
      <c r="C924" s="4"/>
      <c r="D924" s="4"/>
      <c r="E924" s="4"/>
      <c r="F924" s="4"/>
    </row>
    <row r="925" ht="15.75" customHeight="1">
      <c r="A925" s="4"/>
      <c r="B925" s="4"/>
      <c r="C925" s="4"/>
      <c r="D925" s="4"/>
      <c r="E925" s="4"/>
      <c r="F925" s="4"/>
    </row>
    <row r="926" ht="15.75" customHeight="1">
      <c r="A926" s="4"/>
      <c r="B926" s="4"/>
      <c r="C926" s="4"/>
      <c r="D926" s="4"/>
      <c r="E926" s="4"/>
      <c r="F926" s="4"/>
    </row>
    <row r="927" ht="15.75" customHeight="1">
      <c r="A927" s="4"/>
      <c r="B927" s="4"/>
      <c r="C927" s="4"/>
      <c r="D927" s="4"/>
      <c r="E927" s="4"/>
      <c r="F927" s="4"/>
    </row>
    <row r="928" ht="15.75" customHeight="1">
      <c r="A928" s="4"/>
      <c r="B928" s="4"/>
      <c r="C928" s="4"/>
      <c r="D928" s="4"/>
      <c r="E928" s="4"/>
      <c r="F928" s="4"/>
    </row>
    <row r="929" ht="15.75" customHeight="1">
      <c r="A929" s="4"/>
      <c r="B929" s="4"/>
      <c r="C929" s="4"/>
      <c r="D929" s="4"/>
      <c r="E929" s="4"/>
      <c r="F929" s="4"/>
    </row>
    <row r="930" ht="15.75" customHeight="1">
      <c r="A930" s="4"/>
      <c r="B930" s="4"/>
      <c r="C930" s="4"/>
      <c r="D930" s="4"/>
      <c r="E930" s="4"/>
      <c r="F930" s="4"/>
    </row>
    <row r="931" ht="15.75" customHeight="1">
      <c r="A931" s="4"/>
      <c r="B931" s="4"/>
      <c r="C931" s="4"/>
      <c r="D931" s="4"/>
      <c r="E931" s="4"/>
      <c r="F931" s="4"/>
    </row>
    <row r="932" ht="15.75" customHeight="1">
      <c r="A932" s="4"/>
      <c r="B932" s="4"/>
      <c r="C932" s="4"/>
      <c r="D932" s="4"/>
      <c r="E932" s="4"/>
      <c r="F932" s="4"/>
    </row>
    <row r="933" ht="15.75" customHeight="1">
      <c r="A933" s="4"/>
      <c r="B933" s="4"/>
      <c r="C933" s="4"/>
      <c r="D933" s="4"/>
      <c r="E933" s="4"/>
      <c r="F933" s="4"/>
    </row>
    <row r="934" ht="15.75" customHeight="1">
      <c r="A934" s="4"/>
      <c r="B934" s="4"/>
      <c r="C934" s="4"/>
      <c r="D934" s="4"/>
      <c r="E934" s="4"/>
      <c r="F934" s="4"/>
    </row>
    <row r="935" ht="15.75" customHeight="1">
      <c r="A935" s="4"/>
      <c r="B935" s="4"/>
      <c r="C935" s="4"/>
      <c r="D935" s="4"/>
      <c r="E935" s="4"/>
      <c r="F935" s="4"/>
    </row>
    <row r="936" ht="15.75" customHeight="1">
      <c r="A936" s="4"/>
      <c r="B936" s="4"/>
      <c r="C936" s="4"/>
      <c r="D936" s="4"/>
      <c r="E936" s="4"/>
      <c r="F936" s="4"/>
    </row>
    <row r="937" ht="15.75" customHeight="1">
      <c r="A937" s="4"/>
      <c r="B937" s="4"/>
      <c r="C937" s="4"/>
      <c r="D937" s="4"/>
      <c r="E937" s="4"/>
      <c r="F937" s="4"/>
    </row>
    <row r="938" ht="15.75" customHeight="1">
      <c r="A938" s="4"/>
      <c r="B938" s="4"/>
      <c r="C938" s="4"/>
      <c r="D938" s="4"/>
      <c r="E938" s="4"/>
      <c r="F938" s="4"/>
    </row>
    <row r="939" ht="15.75" customHeight="1">
      <c r="A939" s="4"/>
      <c r="B939" s="4"/>
      <c r="C939" s="4"/>
      <c r="D939" s="4"/>
      <c r="E939" s="4"/>
      <c r="F939" s="4"/>
    </row>
    <row r="940" ht="15.75" customHeight="1">
      <c r="A940" s="4"/>
      <c r="B940" s="4"/>
      <c r="C940" s="4"/>
      <c r="D940" s="4"/>
      <c r="E940" s="4"/>
      <c r="F940" s="4"/>
    </row>
    <row r="941" ht="15.75" customHeight="1">
      <c r="A941" s="4"/>
      <c r="B941" s="4"/>
      <c r="C941" s="4"/>
      <c r="D941" s="4"/>
      <c r="E941" s="4"/>
      <c r="F941" s="4"/>
    </row>
    <row r="942" ht="15.75" customHeight="1">
      <c r="A942" s="4"/>
      <c r="B942" s="4"/>
      <c r="C942" s="4"/>
      <c r="D942" s="4"/>
      <c r="E942" s="4"/>
      <c r="F942" s="4"/>
    </row>
    <row r="943" ht="15.75" customHeight="1">
      <c r="A943" s="4"/>
      <c r="B943" s="4"/>
      <c r="C943" s="4"/>
      <c r="D943" s="4"/>
      <c r="E943" s="4"/>
      <c r="F943" s="4"/>
    </row>
    <row r="944" ht="15.75" customHeight="1">
      <c r="A944" s="4"/>
      <c r="B944" s="4"/>
      <c r="C944" s="4"/>
      <c r="D944" s="4"/>
      <c r="E944" s="4"/>
      <c r="F944" s="4"/>
    </row>
    <row r="945" ht="15.75" customHeight="1">
      <c r="A945" s="4"/>
      <c r="B945" s="4"/>
      <c r="C945" s="4"/>
      <c r="D945" s="4"/>
      <c r="E945" s="4"/>
      <c r="F945" s="4"/>
    </row>
    <row r="946" ht="15.75" customHeight="1">
      <c r="A946" s="4"/>
      <c r="B946" s="4"/>
      <c r="C946" s="4"/>
      <c r="D946" s="4"/>
      <c r="E946" s="4"/>
      <c r="F946" s="4"/>
    </row>
    <row r="947" ht="15.75" customHeight="1">
      <c r="A947" s="4"/>
      <c r="B947" s="4"/>
      <c r="C947" s="4"/>
      <c r="D947" s="4"/>
      <c r="E947" s="4"/>
      <c r="F947" s="4"/>
    </row>
    <row r="948" ht="15.75" customHeight="1">
      <c r="A948" s="4"/>
      <c r="B948" s="4"/>
      <c r="C948" s="4"/>
      <c r="D948" s="4"/>
      <c r="E948" s="4"/>
      <c r="F948" s="4"/>
    </row>
    <row r="949" ht="15.75" customHeight="1">
      <c r="A949" s="4"/>
      <c r="B949" s="4"/>
      <c r="C949" s="4"/>
      <c r="D949" s="4"/>
      <c r="E949" s="4"/>
      <c r="F949" s="4"/>
    </row>
    <row r="950" ht="15.75" customHeight="1">
      <c r="A950" s="4"/>
      <c r="B950" s="4"/>
      <c r="C950" s="4"/>
      <c r="D950" s="4"/>
      <c r="E950" s="4"/>
      <c r="F950" s="4"/>
    </row>
    <row r="951" ht="15.75" customHeight="1">
      <c r="A951" s="4"/>
      <c r="B951" s="4"/>
      <c r="C951" s="4"/>
      <c r="D951" s="4"/>
      <c r="E951" s="4"/>
      <c r="F951" s="4"/>
    </row>
    <row r="952" ht="15.75" customHeight="1">
      <c r="A952" s="4"/>
      <c r="B952" s="4"/>
      <c r="C952" s="4"/>
      <c r="D952" s="4"/>
      <c r="E952" s="4"/>
      <c r="F952" s="4"/>
    </row>
    <row r="953" ht="15.75" customHeight="1">
      <c r="A953" s="4"/>
      <c r="B953" s="4"/>
      <c r="C953" s="4"/>
      <c r="D953" s="4"/>
      <c r="E953" s="4"/>
      <c r="F953" s="4"/>
    </row>
    <row r="954" ht="15.75" customHeight="1">
      <c r="A954" s="4"/>
      <c r="B954" s="4"/>
      <c r="C954" s="4"/>
      <c r="D954" s="4"/>
      <c r="E954" s="4"/>
      <c r="F954" s="4"/>
    </row>
    <row r="955" ht="15.75" customHeight="1">
      <c r="A955" s="4"/>
      <c r="B955" s="4"/>
      <c r="C955" s="4"/>
      <c r="D955" s="4"/>
      <c r="E955" s="4"/>
      <c r="F955" s="4"/>
    </row>
    <row r="956" ht="15.75" customHeight="1">
      <c r="A956" s="4"/>
      <c r="B956" s="4"/>
      <c r="C956" s="4"/>
      <c r="D956" s="4"/>
      <c r="E956" s="4"/>
      <c r="F956" s="4"/>
    </row>
    <row r="957" ht="15.75" customHeight="1">
      <c r="A957" s="4"/>
      <c r="B957" s="4"/>
      <c r="C957" s="4"/>
      <c r="D957" s="4"/>
      <c r="E957" s="4"/>
      <c r="F957" s="4"/>
    </row>
    <row r="958" ht="15.75" customHeight="1">
      <c r="A958" s="4"/>
      <c r="B958" s="4"/>
      <c r="C958" s="4"/>
      <c r="D958" s="4"/>
      <c r="E958" s="4"/>
      <c r="F958" s="4"/>
    </row>
    <row r="959" ht="15.75" customHeight="1">
      <c r="A959" s="4"/>
      <c r="B959" s="4"/>
      <c r="C959" s="4"/>
      <c r="D959" s="4"/>
      <c r="E959" s="4"/>
      <c r="F959" s="4"/>
    </row>
    <row r="960" ht="15.75" customHeight="1">
      <c r="A960" s="4"/>
      <c r="B960" s="4"/>
      <c r="C960" s="4"/>
      <c r="D960" s="4"/>
      <c r="E960" s="4"/>
      <c r="F960" s="4"/>
    </row>
    <row r="961" ht="15.75" customHeight="1">
      <c r="A961" s="4"/>
      <c r="B961" s="4"/>
      <c r="C961" s="4"/>
      <c r="D961" s="4"/>
      <c r="E961" s="4"/>
      <c r="F961" s="4"/>
    </row>
    <row r="962" ht="15.75" customHeight="1">
      <c r="A962" s="4"/>
      <c r="B962" s="4"/>
      <c r="C962" s="4"/>
      <c r="D962" s="4"/>
      <c r="E962" s="4"/>
      <c r="F962" s="4"/>
    </row>
    <row r="963" ht="15.75" customHeight="1">
      <c r="A963" s="4"/>
      <c r="B963" s="4"/>
      <c r="C963" s="4"/>
      <c r="D963" s="4"/>
      <c r="E963" s="4"/>
      <c r="F963" s="4"/>
    </row>
    <row r="964" ht="15.75" customHeight="1">
      <c r="A964" s="4"/>
      <c r="B964" s="4"/>
      <c r="C964" s="4"/>
      <c r="D964" s="4"/>
      <c r="E964" s="4"/>
      <c r="F964" s="4"/>
    </row>
    <row r="965" ht="15.75" customHeight="1">
      <c r="A965" s="4"/>
      <c r="B965" s="4"/>
      <c r="C965" s="4"/>
      <c r="D965" s="4"/>
      <c r="E965" s="4"/>
      <c r="F965" s="4"/>
    </row>
    <row r="966" ht="15.75" customHeight="1">
      <c r="A966" s="4"/>
      <c r="B966" s="4"/>
      <c r="C966" s="4"/>
      <c r="D966" s="4"/>
      <c r="E966" s="4"/>
      <c r="F966" s="4"/>
    </row>
    <row r="967" ht="15.75" customHeight="1">
      <c r="A967" s="4"/>
      <c r="B967" s="4"/>
      <c r="C967" s="4"/>
      <c r="D967" s="4"/>
      <c r="E967" s="4"/>
      <c r="F967" s="4"/>
    </row>
    <row r="968" ht="15.75" customHeight="1">
      <c r="A968" s="4"/>
      <c r="B968" s="4"/>
      <c r="C968" s="4"/>
      <c r="D968" s="4"/>
      <c r="E968" s="4"/>
      <c r="F968" s="4"/>
    </row>
    <row r="969" ht="15.75" customHeight="1">
      <c r="A969" s="4"/>
      <c r="B969" s="4"/>
      <c r="C969" s="4"/>
      <c r="D969" s="4"/>
      <c r="E969" s="4"/>
      <c r="F969" s="4"/>
    </row>
    <row r="970" ht="15.75" customHeight="1">
      <c r="A970" s="4"/>
      <c r="B970" s="4"/>
      <c r="C970" s="4"/>
      <c r="D970" s="4"/>
      <c r="E970" s="4"/>
      <c r="F970" s="4"/>
    </row>
    <row r="971" ht="15.75" customHeight="1">
      <c r="A971" s="4"/>
      <c r="B971" s="4"/>
      <c r="C971" s="4"/>
      <c r="D971" s="4"/>
      <c r="E971" s="4"/>
      <c r="F971" s="4"/>
    </row>
    <row r="972" ht="15.75" customHeight="1">
      <c r="A972" s="4"/>
      <c r="B972" s="4"/>
      <c r="C972" s="4"/>
      <c r="D972" s="4"/>
      <c r="E972" s="4"/>
      <c r="F972" s="4"/>
    </row>
    <row r="973" ht="15.75" customHeight="1">
      <c r="A973" s="4"/>
      <c r="B973" s="4"/>
      <c r="C973" s="4"/>
      <c r="D973" s="4"/>
      <c r="E973" s="4"/>
      <c r="F973" s="4"/>
    </row>
    <row r="974" ht="15.75" customHeight="1">
      <c r="A974" s="4"/>
      <c r="B974" s="4"/>
      <c r="C974" s="4"/>
      <c r="D974" s="4"/>
      <c r="E974" s="4"/>
      <c r="F974" s="4"/>
    </row>
    <row r="975" ht="15.75" customHeight="1">
      <c r="A975" s="4"/>
      <c r="B975" s="4"/>
      <c r="C975" s="4"/>
      <c r="D975" s="4"/>
      <c r="E975" s="4"/>
      <c r="F975" s="4"/>
    </row>
    <row r="976" ht="15.75" customHeight="1">
      <c r="A976" s="4"/>
      <c r="B976" s="4"/>
      <c r="C976" s="4"/>
      <c r="D976" s="4"/>
      <c r="E976" s="4"/>
      <c r="F976" s="4"/>
    </row>
    <row r="977" ht="15.75" customHeight="1">
      <c r="A977" s="4"/>
      <c r="B977" s="4"/>
      <c r="C977" s="4"/>
      <c r="D977" s="4"/>
      <c r="E977" s="4"/>
      <c r="F977" s="4"/>
    </row>
    <row r="978" ht="15.75" customHeight="1">
      <c r="A978" s="4"/>
      <c r="B978" s="4"/>
      <c r="C978" s="4"/>
      <c r="D978" s="4"/>
      <c r="E978" s="4"/>
      <c r="F978" s="4"/>
    </row>
    <row r="979" ht="15.75" customHeight="1">
      <c r="A979" s="4"/>
      <c r="B979" s="4"/>
      <c r="C979" s="4"/>
      <c r="D979" s="4"/>
      <c r="E979" s="4"/>
      <c r="F979" s="4"/>
    </row>
    <row r="980" ht="15.75" customHeight="1">
      <c r="A980" s="4"/>
      <c r="B980" s="4"/>
      <c r="C980" s="4"/>
      <c r="D980" s="4"/>
      <c r="E980" s="4"/>
      <c r="F980" s="4"/>
    </row>
    <row r="981" ht="15.75" customHeight="1">
      <c r="A981" s="4"/>
      <c r="B981" s="4"/>
      <c r="C981" s="4"/>
      <c r="D981" s="4"/>
      <c r="E981" s="4"/>
      <c r="F981" s="4"/>
    </row>
    <row r="982" ht="15.75" customHeight="1">
      <c r="A982" s="4"/>
      <c r="B982" s="4"/>
      <c r="C982" s="4"/>
      <c r="D982" s="4"/>
      <c r="E982" s="4"/>
      <c r="F982" s="4"/>
    </row>
    <row r="983" ht="15.75" customHeight="1">
      <c r="A983" s="4"/>
      <c r="B983" s="4"/>
      <c r="C983" s="4"/>
      <c r="D983" s="4"/>
      <c r="E983" s="4"/>
      <c r="F983" s="4"/>
    </row>
    <row r="984" ht="15.75" customHeight="1">
      <c r="A984" s="4"/>
      <c r="B984" s="4"/>
      <c r="C984" s="4"/>
      <c r="D984" s="4"/>
      <c r="E984" s="4"/>
      <c r="F984" s="4"/>
    </row>
    <row r="985" ht="15.75" customHeight="1">
      <c r="A985" s="4"/>
      <c r="B985" s="4"/>
      <c r="C985" s="4"/>
      <c r="D985" s="4"/>
      <c r="E985" s="4"/>
      <c r="F985" s="4"/>
    </row>
    <row r="986" ht="15.75" customHeight="1">
      <c r="A986" s="4"/>
      <c r="B986" s="4"/>
      <c r="C986" s="4"/>
      <c r="D986" s="4"/>
      <c r="E986" s="4"/>
      <c r="F986" s="4"/>
    </row>
    <row r="987" ht="15.75" customHeight="1">
      <c r="A987" s="4"/>
      <c r="B987" s="4"/>
      <c r="C987" s="4"/>
      <c r="D987" s="4"/>
      <c r="E987" s="4"/>
      <c r="F987" s="4"/>
    </row>
    <row r="988" ht="15.75" customHeight="1">
      <c r="A988" s="4"/>
      <c r="B988" s="4"/>
      <c r="C988" s="4"/>
      <c r="D988" s="4"/>
      <c r="E988" s="4"/>
      <c r="F988" s="4"/>
    </row>
    <row r="989" ht="15.75" customHeight="1">
      <c r="A989" s="4"/>
      <c r="B989" s="4"/>
      <c r="C989" s="4"/>
      <c r="D989" s="4"/>
      <c r="E989" s="4"/>
      <c r="F989" s="4"/>
    </row>
    <row r="990" ht="15.75" customHeight="1">
      <c r="A990" s="4"/>
      <c r="B990" s="4"/>
      <c r="C990" s="4"/>
      <c r="D990" s="4"/>
      <c r="E990" s="4"/>
      <c r="F990" s="4"/>
    </row>
    <row r="991" ht="15.75" customHeight="1">
      <c r="A991" s="4"/>
      <c r="B991" s="4"/>
      <c r="C991" s="4"/>
      <c r="D991" s="4"/>
      <c r="E991" s="4"/>
      <c r="F991" s="4"/>
    </row>
    <row r="992" ht="15.75" customHeight="1">
      <c r="A992" s="4"/>
      <c r="B992" s="4"/>
      <c r="C992" s="4"/>
      <c r="D992" s="4"/>
      <c r="E992" s="4"/>
      <c r="F992" s="4"/>
    </row>
    <row r="993" ht="15.75" customHeight="1">
      <c r="A993" s="4"/>
      <c r="B993" s="4"/>
      <c r="C993" s="4"/>
      <c r="D993" s="4"/>
      <c r="E993" s="4"/>
      <c r="F993" s="4"/>
    </row>
    <row r="994" ht="15.75" customHeight="1">
      <c r="A994" s="4"/>
      <c r="B994" s="4"/>
      <c r="C994" s="4"/>
      <c r="D994" s="4"/>
      <c r="E994" s="4"/>
      <c r="F994" s="4"/>
    </row>
    <row r="995" ht="15.75" customHeight="1">
      <c r="A995" s="4"/>
      <c r="B995" s="4"/>
      <c r="C995" s="4"/>
      <c r="D995" s="4"/>
      <c r="E995" s="4"/>
      <c r="F995" s="4"/>
    </row>
    <row r="996" ht="15.75" customHeight="1">
      <c r="A996" s="4"/>
      <c r="B996" s="4"/>
      <c r="C996" s="4"/>
      <c r="D996" s="4"/>
      <c r="E996" s="4"/>
      <c r="F996" s="4"/>
    </row>
    <row r="997" ht="15.75" customHeight="1">
      <c r="A997" s="4"/>
      <c r="B997" s="4"/>
      <c r="C997" s="4"/>
      <c r="D997" s="4"/>
      <c r="E997" s="4"/>
      <c r="F997" s="4"/>
    </row>
    <row r="998" ht="15.75" customHeight="1">
      <c r="A998" s="4"/>
      <c r="B998" s="4"/>
      <c r="C998" s="4"/>
      <c r="D998" s="4"/>
      <c r="E998" s="4"/>
      <c r="F998" s="4"/>
    </row>
    <row r="999" ht="15.75" customHeight="1">
      <c r="A999" s="4"/>
      <c r="B999" s="4"/>
      <c r="C999" s="4"/>
      <c r="D999" s="4"/>
      <c r="E999" s="4"/>
      <c r="F999" s="4"/>
    </row>
    <row r="1000" ht="15.75" customHeight="1">
      <c r="A1000" s="4"/>
      <c r="B1000" s="4"/>
      <c r="C1000" s="4"/>
      <c r="D1000" s="4"/>
      <c r="E1000" s="4"/>
      <c r="F1000" s="4"/>
    </row>
  </sheetData>
  <mergeCells count="9">
    <mergeCell ref="A74:F74"/>
    <mergeCell ref="A84:F84"/>
    <mergeCell ref="A1:F1"/>
    <mergeCell ref="A4:F4"/>
    <mergeCell ref="A17:F17"/>
    <mergeCell ref="A33:F33"/>
    <mergeCell ref="A45:F45"/>
    <mergeCell ref="A54:F54"/>
    <mergeCell ref="A65:F65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3" width="16.0"/>
    <col customWidth="1" min="4" max="4" width="14.0"/>
    <col customWidth="1" min="5" max="5" width="22.0"/>
    <col customWidth="1" min="6" max="7" width="14.0"/>
    <col customWidth="1" min="8" max="8" width="16.0"/>
    <col customWidth="1" min="9" max="26" width="8.71"/>
  </cols>
  <sheetData>
    <row r="1" ht="27.75" customHeight="1">
      <c r="A1" s="1" t="s">
        <v>3</v>
      </c>
      <c r="B1" s="2"/>
      <c r="C1" s="2"/>
      <c r="D1" s="2"/>
      <c r="E1" s="2"/>
      <c r="F1" s="2"/>
      <c r="G1" s="2"/>
      <c r="H1" s="3"/>
    </row>
    <row r="2" ht="15.0" customHeight="1">
      <c r="A2" s="5" t="s">
        <v>7</v>
      </c>
      <c r="B2" s="4"/>
      <c r="C2" s="4"/>
      <c r="D2" s="4"/>
      <c r="E2" s="4"/>
      <c r="F2" s="4"/>
      <c r="G2" s="4"/>
      <c r="H2" s="4"/>
    </row>
    <row r="3">
      <c r="A3" s="4"/>
      <c r="B3" s="4"/>
      <c r="C3" s="4"/>
      <c r="D3" s="4"/>
      <c r="E3" s="4"/>
      <c r="F3" s="4"/>
      <c r="G3" s="4"/>
      <c r="H3" s="4"/>
    </row>
    <row r="4" ht="19.5" customHeight="1">
      <c r="A4" s="9" t="s">
        <v>22</v>
      </c>
      <c r="B4" s="2"/>
      <c r="C4" s="2"/>
      <c r="D4" s="2"/>
      <c r="E4" s="2"/>
      <c r="F4" s="2"/>
      <c r="G4" s="2"/>
      <c r="H4" s="3"/>
    </row>
    <row r="5" ht="15.0" customHeight="1">
      <c r="A5" s="6" t="s">
        <v>45</v>
      </c>
      <c r="B5" s="12" t="s">
        <v>48</v>
      </c>
      <c r="C5" s="13"/>
      <c r="D5" s="4"/>
      <c r="E5" s="6" t="s">
        <v>68</v>
      </c>
      <c r="F5" s="12" t="s">
        <v>69</v>
      </c>
      <c r="G5" s="13"/>
      <c r="H5" s="4"/>
    </row>
    <row r="6" ht="15.0" customHeight="1">
      <c r="A6" s="6" t="s">
        <v>74</v>
      </c>
      <c r="B6" s="12">
        <v>4.0</v>
      </c>
      <c r="C6" s="13"/>
      <c r="D6" s="4"/>
      <c r="E6" s="6" t="s">
        <v>80</v>
      </c>
      <c r="F6" s="12" t="s">
        <v>69</v>
      </c>
      <c r="G6" s="13"/>
      <c r="H6" s="4"/>
    </row>
    <row r="7" ht="15.0" customHeight="1">
      <c r="A7" s="6" t="s">
        <v>84</v>
      </c>
      <c r="B7" s="12" t="s">
        <v>85</v>
      </c>
      <c r="C7" s="13"/>
      <c r="D7" s="4"/>
      <c r="E7" s="6" t="s">
        <v>87</v>
      </c>
      <c r="F7" s="12"/>
      <c r="G7" s="13"/>
      <c r="H7" s="4"/>
    </row>
    <row r="8" ht="15.0" customHeight="1">
      <c r="A8" s="6" t="s">
        <v>91</v>
      </c>
      <c r="B8" s="12" t="s">
        <v>93</v>
      </c>
      <c r="C8" s="13"/>
      <c r="D8" s="4"/>
      <c r="E8" s="6" t="s">
        <v>96</v>
      </c>
      <c r="F8" s="12" t="s">
        <v>97</v>
      </c>
      <c r="G8" s="13"/>
      <c r="H8" s="4"/>
    </row>
    <row r="9" ht="15.0" customHeight="1">
      <c r="A9" s="6" t="s">
        <v>101</v>
      </c>
      <c r="B9" s="12"/>
      <c r="C9" s="13"/>
      <c r="D9" s="4"/>
      <c r="E9" s="6" t="s">
        <v>105</v>
      </c>
      <c r="F9" s="12" t="s">
        <v>107</v>
      </c>
      <c r="G9" s="13"/>
      <c r="H9" s="4"/>
    </row>
    <row r="10" ht="15.0" customHeight="1">
      <c r="A10" s="6" t="s">
        <v>110</v>
      </c>
      <c r="B10" s="12" t="s">
        <v>125</v>
      </c>
      <c r="C10" s="13"/>
      <c r="D10" s="4"/>
      <c r="E10" s="6" t="s">
        <v>130</v>
      </c>
      <c r="F10" s="12" t="s">
        <v>131</v>
      </c>
      <c r="G10" s="13"/>
      <c r="H10" s="4"/>
    </row>
    <row r="11">
      <c r="A11" s="4"/>
      <c r="B11" s="4"/>
      <c r="C11" s="4"/>
      <c r="D11" s="4"/>
      <c r="E11" s="4"/>
      <c r="F11" s="4"/>
      <c r="G11" s="4"/>
      <c r="H11" s="4"/>
    </row>
    <row r="12" ht="19.5" customHeight="1">
      <c r="A12" s="9" t="s">
        <v>134</v>
      </c>
      <c r="B12" s="2"/>
      <c r="C12" s="2"/>
      <c r="D12" s="2"/>
      <c r="E12" s="2"/>
      <c r="F12" s="2"/>
      <c r="G12" s="2"/>
      <c r="H12" s="3"/>
    </row>
    <row r="13" ht="15.0" customHeight="1">
      <c r="A13" s="6" t="s">
        <v>142</v>
      </c>
      <c r="B13" s="12" t="s">
        <v>143</v>
      </c>
      <c r="C13" s="13"/>
      <c r="D13" s="4"/>
      <c r="E13" s="6" t="s">
        <v>147</v>
      </c>
      <c r="F13" s="12" t="s">
        <v>69</v>
      </c>
      <c r="G13" s="13"/>
      <c r="H13" s="4"/>
    </row>
    <row r="14" ht="15.0" customHeight="1">
      <c r="A14" s="6" t="s">
        <v>149</v>
      </c>
      <c r="B14" s="12" t="s">
        <v>91</v>
      </c>
      <c r="C14" s="13"/>
      <c r="D14" s="4"/>
      <c r="E14" s="6" t="s">
        <v>152</v>
      </c>
      <c r="F14" s="12" t="s">
        <v>153</v>
      </c>
      <c r="G14" s="13"/>
      <c r="H14" s="4"/>
    </row>
    <row r="15" ht="15.0" customHeight="1">
      <c r="A15" s="6" t="s">
        <v>157</v>
      </c>
      <c r="B15" s="12" t="s">
        <v>118</v>
      </c>
      <c r="C15" s="13"/>
      <c r="D15" s="4"/>
      <c r="E15" s="6" t="s">
        <v>164</v>
      </c>
      <c r="F15" s="12" t="s">
        <v>168</v>
      </c>
      <c r="G15" s="13"/>
      <c r="H15" s="4"/>
    </row>
    <row r="16" ht="15.0" customHeight="1">
      <c r="A16" s="6" t="s">
        <v>172</v>
      </c>
      <c r="B16" s="12" t="s">
        <v>136</v>
      </c>
      <c r="C16" s="13"/>
      <c r="D16" s="4"/>
      <c r="E16" s="6" t="s">
        <v>183</v>
      </c>
      <c r="F16" s="12" t="s">
        <v>136</v>
      </c>
      <c r="G16" s="13"/>
      <c r="H16" s="4"/>
    </row>
    <row r="17" ht="15.0" customHeight="1">
      <c r="A17" s="6" t="s">
        <v>186</v>
      </c>
      <c r="B17" s="12" t="s">
        <v>146</v>
      </c>
      <c r="C17" s="13"/>
      <c r="D17" s="4"/>
      <c r="E17" s="6" t="s">
        <v>188</v>
      </c>
      <c r="F17" s="12" t="s">
        <v>175</v>
      </c>
      <c r="G17" s="13"/>
      <c r="H17" s="4"/>
    </row>
    <row r="18" ht="15.0" customHeight="1">
      <c r="A18" s="6" t="s">
        <v>190</v>
      </c>
      <c r="B18" s="12" t="s">
        <v>160</v>
      </c>
      <c r="C18" s="13"/>
      <c r="D18" s="4"/>
      <c r="E18" s="6" t="s">
        <v>195</v>
      </c>
      <c r="F18" s="12" t="s">
        <v>166</v>
      </c>
      <c r="G18" s="13"/>
      <c r="H18" s="4"/>
    </row>
    <row r="19" ht="15.0" customHeight="1">
      <c r="A19" s="6" t="s">
        <v>198</v>
      </c>
      <c r="B19" s="12" t="s">
        <v>151</v>
      </c>
      <c r="C19" s="13"/>
      <c r="D19" s="4"/>
      <c r="E19" s="6" t="s">
        <v>201</v>
      </c>
      <c r="F19" s="12" t="s">
        <v>118</v>
      </c>
      <c r="G19" s="13"/>
      <c r="H19" s="4"/>
    </row>
    <row r="20">
      <c r="A20" s="4"/>
      <c r="B20" s="4"/>
      <c r="C20" s="4"/>
      <c r="D20" s="4"/>
      <c r="E20" s="4"/>
      <c r="F20" s="4"/>
      <c r="G20" s="4"/>
      <c r="H20" s="4"/>
    </row>
    <row r="21" ht="19.5" customHeight="1">
      <c r="A21" s="9" t="s">
        <v>207</v>
      </c>
      <c r="B21" s="2"/>
      <c r="C21" s="2"/>
      <c r="D21" s="2"/>
      <c r="E21" s="2"/>
      <c r="F21" s="2"/>
      <c r="G21" s="2"/>
      <c r="H21" s="3"/>
    </row>
    <row r="22" ht="15.0" customHeight="1">
      <c r="A22" s="25" t="s">
        <v>209</v>
      </c>
      <c r="B22" s="25" t="s">
        <v>211</v>
      </c>
      <c r="C22" s="25" t="s">
        <v>212</v>
      </c>
      <c r="D22" s="25"/>
      <c r="E22" s="25"/>
      <c r="F22" s="25"/>
      <c r="G22" s="25"/>
      <c r="H22" s="25"/>
    </row>
    <row r="23" ht="15.0" customHeight="1">
      <c r="A23" s="19" t="s">
        <v>135</v>
      </c>
      <c r="B23" s="19" t="s">
        <v>216</v>
      </c>
      <c r="C23" s="19" t="s">
        <v>217</v>
      </c>
      <c r="D23" s="4"/>
      <c r="E23" s="4"/>
      <c r="F23" s="4"/>
      <c r="G23" s="4"/>
      <c r="H23" s="4"/>
    </row>
    <row r="24" ht="15.0" customHeight="1">
      <c r="A24" s="19" t="s">
        <v>219</v>
      </c>
      <c r="B24" s="19" t="s">
        <v>220</v>
      </c>
      <c r="C24" s="19" t="s">
        <v>217</v>
      </c>
      <c r="D24" s="4"/>
      <c r="E24" s="4"/>
      <c r="F24" s="4"/>
      <c r="G24" s="4"/>
      <c r="H24" s="4"/>
    </row>
    <row r="25" ht="15.0" customHeight="1">
      <c r="A25" s="19"/>
      <c r="B25" s="19"/>
      <c r="C25" s="19"/>
      <c r="D25" s="4"/>
      <c r="E25" s="4"/>
      <c r="F25" s="4"/>
      <c r="G25" s="4"/>
      <c r="H25" s="4"/>
    </row>
    <row r="26" ht="15.0" customHeight="1">
      <c r="A26" s="19"/>
      <c r="B26" s="19"/>
      <c r="C26" s="19"/>
      <c r="D26" s="4"/>
      <c r="E26" s="4"/>
      <c r="F26" s="4"/>
      <c r="G26" s="4"/>
      <c r="H26" s="4"/>
    </row>
    <row r="27" ht="15.0" customHeight="1">
      <c r="A27" s="19"/>
      <c r="B27" s="19"/>
      <c r="C27" s="19"/>
      <c r="D27" s="4"/>
      <c r="E27" s="4"/>
      <c r="F27" s="4"/>
      <c r="G27" s="4"/>
      <c r="H27" s="4"/>
    </row>
    <row r="28" ht="15.0" customHeight="1">
      <c r="A28" s="19"/>
      <c r="B28" s="19"/>
      <c r="C28" s="19"/>
      <c r="D28" s="4"/>
      <c r="E28" s="4"/>
      <c r="F28" s="4"/>
      <c r="G28" s="4"/>
      <c r="H28" s="4"/>
    </row>
    <row r="29" ht="15.0" customHeight="1">
      <c r="A29" s="5" t="s">
        <v>221</v>
      </c>
      <c r="B29" s="4"/>
      <c r="C29" s="4"/>
      <c r="D29" s="4"/>
      <c r="E29" s="4"/>
      <c r="F29" s="4"/>
      <c r="G29" s="4"/>
      <c r="H29" s="4"/>
    </row>
    <row r="30" ht="15.75" customHeight="1">
      <c r="A30" s="4"/>
      <c r="B30" s="4"/>
      <c r="C30" s="4"/>
      <c r="D30" s="4"/>
      <c r="E30" s="4"/>
      <c r="F30" s="4"/>
      <c r="G30" s="4"/>
      <c r="H30" s="4"/>
    </row>
    <row r="31" ht="19.5" customHeight="1">
      <c r="A31" s="9" t="s">
        <v>226</v>
      </c>
      <c r="B31" s="2"/>
      <c r="C31" s="2"/>
      <c r="D31" s="2"/>
      <c r="E31" s="2"/>
      <c r="F31" s="2"/>
      <c r="G31" s="2"/>
      <c r="H31" s="3"/>
    </row>
    <row r="32" ht="15.0" customHeight="1">
      <c r="A32" s="25" t="s">
        <v>227</v>
      </c>
      <c r="B32" s="25" t="s">
        <v>228</v>
      </c>
      <c r="C32" s="27" t="s">
        <v>229</v>
      </c>
      <c r="D32" s="28"/>
      <c r="E32" s="28"/>
      <c r="F32" s="28"/>
      <c r="G32" s="28"/>
      <c r="H32" s="13"/>
    </row>
    <row r="33" ht="15.0" customHeight="1">
      <c r="A33" s="16" t="s">
        <v>230</v>
      </c>
      <c r="B33" s="19" t="s">
        <v>160</v>
      </c>
      <c r="C33" s="12" t="s">
        <v>231</v>
      </c>
      <c r="D33" s="28"/>
      <c r="E33" s="28"/>
      <c r="F33" s="28"/>
      <c r="G33" s="28"/>
      <c r="H33" s="13"/>
    </row>
    <row r="34" ht="15.0" customHeight="1">
      <c r="A34" s="16" t="s">
        <v>232</v>
      </c>
      <c r="B34" s="19" t="s">
        <v>160</v>
      </c>
      <c r="C34" s="12" t="s">
        <v>233</v>
      </c>
      <c r="D34" s="28"/>
      <c r="E34" s="28"/>
      <c r="F34" s="28"/>
      <c r="G34" s="28"/>
      <c r="H34" s="13"/>
    </row>
    <row r="35" ht="15.0" customHeight="1">
      <c r="A35" s="16" t="s">
        <v>234</v>
      </c>
      <c r="B35" s="19" t="s">
        <v>166</v>
      </c>
      <c r="C35" s="12"/>
      <c r="D35" s="28"/>
      <c r="E35" s="28"/>
      <c r="F35" s="28"/>
      <c r="G35" s="28"/>
      <c r="H35" s="13"/>
    </row>
    <row r="36" ht="15.0" customHeight="1">
      <c r="A36" s="16" t="s">
        <v>235</v>
      </c>
      <c r="B36" s="19" t="s">
        <v>166</v>
      </c>
      <c r="C36" s="12"/>
      <c r="D36" s="28"/>
      <c r="E36" s="28"/>
      <c r="F36" s="28"/>
      <c r="G36" s="28"/>
      <c r="H36" s="13"/>
    </row>
    <row r="37" ht="15.0" customHeight="1">
      <c r="A37" s="16" t="s">
        <v>236</v>
      </c>
      <c r="B37" s="19" t="s">
        <v>160</v>
      </c>
      <c r="C37" s="12" t="s">
        <v>237</v>
      </c>
      <c r="D37" s="28"/>
      <c r="E37" s="28"/>
      <c r="F37" s="28"/>
      <c r="G37" s="28"/>
      <c r="H37" s="13"/>
    </row>
    <row r="38" ht="15.0" customHeight="1">
      <c r="A38" s="16" t="s">
        <v>238</v>
      </c>
      <c r="B38" s="19" t="s">
        <v>160</v>
      </c>
      <c r="C38" s="12" t="s">
        <v>239</v>
      </c>
      <c r="D38" s="28"/>
      <c r="E38" s="28"/>
      <c r="F38" s="28"/>
      <c r="G38" s="28"/>
      <c r="H38" s="13"/>
    </row>
    <row r="39" ht="15.0" customHeight="1">
      <c r="A39" s="16" t="s">
        <v>240</v>
      </c>
      <c r="B39" s="19" t="s">
        <v>160</v>
      </c>
      <c r="C39" s="12" t="s">
        <v>241</v>
      </c>
      <c r="D39" s="28"/>
      <c r="E39" s="28"/>
      <c r="F39" s="28"/>
      <c r="G39" s="28"/>
      <c r="H39" s="13"/>
    </row>
    <row r="40" ht="15.0" customHeight="1">
      <c r="A40" s="16" t="s">
        <v>242</v>
      </c>
      <c r="B40" s="19" t="s">
        <v>160</v>
      </c>
      <c r="C40" s="12" t="s">
        <v>243</v>
      </c>
      <c r="D40" s="28"/>
      <c r="E40" s="28"/>
      <c r="F40" s="28"/>
      <c r="G40" s="28"/>
      <c r="H40" s="13"/>
    </row>
    <row r="41" ht="15.0" customHeight="1">
      <c r="A41" s="16" t="s">
        <v>244</v>
      </c>
      <c r="B41" s="19" t="s">
        <v>160</v>
      </c>
      <c r="C41" s="12" t="s">
        <v>245</v>
      </c>
      <c r="D41" s="28"/>
      <c r="E41" s="28"/>
      <c r="F41" s="28"/>
      <c r="G41" s="28"/>
      <c r="H41" s="13"/>
    </row>
    <row r="42" ht="15.0" customHeight="1">
      <c r="A42" s="16" t="s">
        <v>246</v>
      </c>
      <c r="B42" s="19" t="s">
        <v>166</v>
      </c>
      <c r="C42" s="12"/>
      <c r="D42" s="28"/>
      <c r="E42" s="28"/>
      <c r="F42" s="28"/>
      <c r="G42" s="28"/>
      <c r="H42" s="13"/>
    </row>
    <row r="43" ht="15.0" customHeight="1">
      <c r="A43" s="5" t="s">
        <v>248</v>
      </c>
      <c r="B43" s="4"/>
      <c r="C43" s="4"/>
      <c r="D43" s="4"/>
      <c r="E43" s="4"/>
      <c r="F43" s="4"/>
      <c r="G43" s="4"/>
      <c r="H43" s="4"/>
    </row>
    <row r="44" ht="15.75" customHeight="1">
      <c r="A44" s="4"/>
      <c r="B44" s="4"/>
      <c r="C44" s="4"/>
      <c r="D44" s="4"/>
      <c r="E44" s="4"/>
      <c r="F44" s="4"/>
      <c r="G44" s="4"/>
      <c r="H44" s="4"/>
    </row>
    <row r="45" ht="19.5" customHeight="1">
      <c r="A45" s="9" t="s">
        <v>249</v>
      </c>
      <c r="B45" s="2"/>
      <c r="C45" s="2"/>
      <c r="D45" s="2"/>
      <c r="E45" s="2"/>
      <c r="F45" s="2"/>
      <c r="G45" s="2"/>
      <c r="H45" s="3"/>
    </row>
    <row r="46" ht="15.0" customHeight="1">
      <c r="A46" s="6" t="s">
        <v>250</v>
      </c>
      <c r="B46" s="12"/>
      <c r="C46" s="28"/>
      <c r="D46" s="13"/>
      <c r="E46" s="4"/>
      <c r="F46" s="4"/>
      <c r="G46" s="4"/>
      <c r="H46" s="4"/>
    </row>
    <row r="47" ht="15.0" customHeight="1">
      <c r="A47" s="6" t="s">
        <v>251</v>
      </c>
      <c r="B47" s="12"/>
      <c r="C47" s="28"/>
      <c r="D47" s="13"/>
      <c r="E47" s="4"/>
      <c r="F47" s="4"/>
      <c r="G47" s="4"/>
      <c r="H47" s="4"/>
    </row>
    <row r="48" ht="15.0" customHeight="1">
      <c r="A48" s="6" t="s">
        <v>252</v>
      </c>
      <c r="B48" s="12"/>
      <c r="C48" s="28"/>
      <c r="D48" s="13"/>
      <c r="E48" s="4"/>
      <c r="F48" s="4"/>
      <c r="G48" s="4"/>
      <c r="H48" s="4"/>
    </row>
    <row r="49" ht="15.0" customHeight="1">
      <c r="A49" s="6" t="s">
        <v>253</v>
      </c>
      <c r="B49" s="12"/>
      <c r="C49" s="28"/>
      <c r="D49" s="13"/>
      <c r="E49" s="4"/>
      <c r="F49" s="4"/>
      <c r="G49" s="4"/>
      <c r="H49" s="4"/>
    </row>
    <row r="50" ht="15.0" customHeight="1">
      <c r="A50" s="6" t="s">
        <v>254</v>
      </c>
      <c r="B50" s="12"/>
      <c r="C50" s="28"/>
      <c r="D50" s="13"/>
      <c r="E50" s="4"/>
      <c r="F50" s="4"/>
      <c r="G50" s="4"/>
      <c r="H50" s="4"/>
    </row>
    <row r="51" ht="15.0" customHeight="1">
      <c r="A51" s="6" t="s">
        <v>255</v>
      </c>
      <c r="B51" s="12"/>
      <c r="C51" s="28"/>
      <c r="D51" s="13"/>
      <c r="E51" s="4"/>
      <c r="F51" s="4"/>
      <c r="G51" s="4"/>
      <c r="H51" s="4"/>
    </row>
    <row r="52" ht="15.0" customHeight="1">
      <c r="A52" s="6" t="s">
        <v>256</v>
      </c>
      <c r="B52" s="12"/>
      <c r="C52" s="28"/>
      <c r="D52" s="13"/>
      <c r="E52" s="4"/>
      <c r="F52" s="4"/>
      <c r="G52" s="4"/>
      <c r="H52" s="4"/>
    </row>
    <row r="53" ht="15.75" customHeight="1">
      <c r="A53" s="4"/>
      <c r="B53" s="4"/>
      <c r="C53" s="4"/>
      <c r="D53" s="4"/>
      <c r="E53" s="4"/>
      <c r="F53" s="4"/>
      <c r="G53" s="4"/>
      <c r="H53" s="4"/>
    </row>
    <row r="54" ht="19.5" customHeight="1">
      <c r="A54" s="9" t="s">
        <v>257</v>
      </c>
      <c r="B54" s="2"/>
      <c r="C54" s="2"/>
      <c r="D54" s="2"/>
      <c r="E54" s="2"/>
      <c r="F54" s="2"/>
      <c r="G54" s="2"/>
      <c r="H54" s="3"/>
    </row>
    <row r="55" ht="15.0" customHeight="1">
      <c r="A55" s="25" t="s">
        <v>68</v>
      </c>
      <c r="B55" s="25" t="s">
        <v>258</v>
      </c>
      <c r="C55" s="25"/>
      <c r="D55" s="25"/>
      <c r="E55" s="25" t="s">
        <v>259</v>
      </c>
      <c r="F55" s="25"/>
      <c r="G55" s="25" t="s">
        <v>260</v>
      </c>
      <c r="H55" s="25"/>
    </row>
    <row r="56" ht="15.0" customHeight="1">
      <c r="A56" s="19"/>
      <c r="B56" s="19"/>
      <c r="C56" s="19"/>
      <c r="D56" s="19"/>
      <c r="E56" s="19"/>
      <c r="F56" s="19"/>
      <c r="G56" s="19"/>
      <c r="H56" s="19"/>
    </row>
    <row r="57" ht="15.0" customHeight="1">
      <c r="A57" s="19"/>
      <c r="B57" s="19"/>
      <c r="C57" s="19"/>
      <c r="D57" s="19"/>
      <c r="E57" s="19"/>
      <c r="F57" s="19"/>
      <c r="G57" s="19"/>
      <c r="H57" s="19"/>
    </row>
    <row r="58" ht="15.0" customHeight="1">
      <c r="A58" s="19"/>
      <c r="B58" s="19"/>
      <c r="C58" s="19"/>
      <c r="D58" s="19"/>
      <c r="E58" s="19"/>
      <c r="F58" s="19"/>
      <c r="G58" s="19"/>
      <c r="H58" s="19"/>
    </row>
    <row r="59" ht="15.0" customHeight="1">
      <c r="A59" s="19"/>
      <c r="B59" s="19"/>
      <c r="C59" s="19"/>
      <c r="D59" s="19"/>
      <c r="E59" s="19"/>
      <c r="F59" s="19"/>
      <c r="G59" s="19"/>
      <c r="H59" s="19"/>
    </row>
    <row r="60" ht="15.0" customHeight="1">
      <c r="A60" s="19"/>
      <c r="B60" s="19"/>
      <c r="C60" s="19"/>
      <c r="D60" s="19"/>
      <c r="E60" s="19"/>
      <c r="F60" s="19"/>
      <c r="G60" s="19"/>
      <c r="H60" s="19"/>
    </row>
    <row r="61" ht="15.0" customHeight="1">
      <c r="A61" s="19"/>
      <c r="B61" s="19"/>
      <c r="C61" s="19"/>
      <c r="D61" s="19"/>
      <c r="E61" s="19"/>
      <c r="F61" s="19"/>
      <c r="G61" s="19"/>
      <c r="H61" s="19"/>
    </row>
    <row r="62" ht="15.0" customHeight="1">
      <c r="A62" s="19"/>
      <c r="B62" s="19"/>
      <c r="C62" s="19"/>
      <c r="D62" s="19"/>
      <c r="E62" s="19"/>
      <c r="F62" s="19"/>
      <c r="G62" s="19"/>
      <c r="H62" s="19"/>
    </row>
    <row r="63" ht="15.0" customHeight="1">
      <c r="A63" s="19"/>
      <c r="B63" s="19"/>
      <c r="C63" s="19"/>
      <c r="D63" s="19"/>
      <c r="E63" s="19"/>
      <c r="F63" s="19"/>
      <c r="G63" s="19"/>
      <c r="H63" s="19"/>
    </row>
    <row r="64" ht="15.0" customHeight="1">
      <c r="A64" s="5" t="s">
        <v>261</v>
      </c>
      <c r="B64" s="4"/>
      <c r="C64" s="4"/>
      <c r="D64" s="4"/>
      <c r="E64" s="4"/>
      <c r="F64" s="4"/>
      <c r="G64" s="4"/>
      <c r="H64" s="4"/>
    </row>
    <row r="65" ht="15.75" customHeight="1">
      <c r="A65" s="4"/>
      <c r="B65" s="4"/>
      <c r="C65" s="4"/>
      <c r="D65" s="4"/>
      <c r="E65" s="4"/>
      <c r="F65" s="4"/>
      <c r="G65" s="4"/>
      <c r="H65" s="4"/>
    </row>
    <row r="66" ht="19.5" customHeight="1">
      <c r="A66" s="29" t="s">
        <v>262</v>
      </c>
      <c r="B66" s="2"/>
      <c r="C66" s="2"/>
      <c r="D66" s="2"/>
      <c r="E66" s="2"/>
      <c r="F66" s="2"/>
      <c r="G66" s="2"/>
      <c r="H66" s="3"/>
    </row>
    <row r="67" ht="15.0" customHeight="1">
      <c r="A67" s="6" t="s">
        <v>263</v>
      </c>
      <c r="B67" s="4"/>
      <c r="C67" s="30">
        <f>COUNTA(PRENDAS!$B$3:$B$202)</f>
        <v>28</v>
      </c>
      <c r="D67" s="31" t="str">
        <f t="shared" ref="D67:D68" si="1">"—"</f>
        <v>—</v>
      </c>
      <c r="E67" s="4"/>
      <c r="F67" s="4"/>
      <c r="G67" s="4"/>
      <c r="H67" s="4"/>
    </row>
    <row r="68" ht="15.0" customHeight="1">
      <c r="A68" s="6" t="s">
        <v>266</v>
      </c>
      <c r="B68" s="4"/>
      <c r="C68" s="30">
        <f>COUNTIFS(PRENDAS!$O$3:$O$202,"Venta",PRENDAS!$B$3:$B$202,"&lt;&gt;")</f>
        <v>28</v>
      </c>
      <c r="D68" s="31" t="str">
        <f t="shared" si="1"/>
        <v>—</v>
      </c>
      <c r="E68" s="4"/>
      <c r="F68" s="4"/>
      <c r="G68" s="4"/>
      <c r="H68" s="4"/>
    </row>
    <row r="69" ht="15.0" customHeight="1">
      <c r="A69" s="6" t="s">
        <v>267</v>
      </c>
      <c r="B69" s="4"/>
      <c r="C69" s="30">
        <f>COUNTIFS(PRENDAS!$D$3:$D$202,"&lt;&gt;",PRENDAS!$B$3:$B$202,"")</f>
        <v>0</v>
      </c>
      <c r="D69" s="31" t="str">
        <f t="shared" ref="D69:D75" si="2">IF(C69=0,"OK","REVISAR")</f>
        <v>OK</v>
      </c>
      <c r="E69" s="4"/>
      <c r="F69" s="4"/>
      <c r="G69" s="4"/>
      <c r="H69" s="4"/>
    </row>
    <row r="70" ht="15.0" customHeight="1">
      <c r="A70" s="6" t="s">
        <v>268</v>
      </c>
      <c r="B70" s="4"/>
      <c r="C70" s="30">
        <f>COUNTIFS(PRENDAS!$B$3:$B$202,"&lt;&gt;",PRENDAS!$E$3:$E$202,"")</f>
        <v>0</v>
      </c>
      <c r="D70" s="31" t="str">
        <f t="shared" si="2"/>
        <v>OK</v>
      </c>
      <c r="E70" s="4"/>
      <c r="F70" s="4"/>
      <c r="G70" s="4"/>
      <c r="H70" s="4"/>
    </row>
    <row r="71" ht="15.0" customHeight="1">
      <c r="A71" s="6" t="s">
        <v>269</v>
      </c>
      <c r="B71" s="4"/>
      <c r="C71" s="30">
        <f>COUNTIFS(PRENDAS!$B$3:$B$202,"&lt;&gt;",PRENDAS!$F$3:$F$202,"")</f>
        <v>0</v>
      </c>
      <c r="D71" s="31" t="str">
        <f t="shared" si="2"/>
        <v>OK</v>
      </c>
      <c r="E71" s="4"/>
      <c r="F71" s="4"/>
      <c r="G71" s="4"/>
      <c r="H71" s="4"/>
    </row>
    <row r="72" ht="15.0" customHeight="1">
      <c r="A72" s="6" t="s">
        <v>270</v>
      </c>
      <c r="B72" s="4"/>
      <c r="C72" s="30">
        <f>COUNTIFS(PRENDAS!$B$3:$B$202,"&lt;&gt;",PRENDAS!$H$3:$H$202,"")</f>
        <v>0</v>
      </c>
      <c r="D72" s="31" t="str">
        <f t="shared" si="2"/>
        <v>OK</v>
      </c>
      <c r="E72" s="4"/>
      <c r="F72" s="4"/>
      <c r="G72" s="4"/>
      <c r="H72" s="4"/>
    </row>
    <row r="73" ht="15.0" customHeight="1">
      <c r="A73" s="6" t="s">
        <v>271</v>
      </c>
      <c r="B73" s="4"/>
      <c r="C73" s="30">
        <f>COUNTIFS(PRENDAS!$B$3:$B$202,"&lt;&gt;",PRENDAS!$I$3:$I$202,"")</f>
        <v>0</v>
      </c>
      <c r="D73" s="31" t="str">
        <f t="shared" si="2"/>
        <v>OK</v>
      </c>
      <c r="E73" s="4"/>
      <c r="F73" s="4"/>
      <c r="G73" s="4"/>
      <c r="H73" s="4"/>
    </row>
    <row r="74" ht="15.0" customHeight="1">
      <c r="A74" s="6" t="s">
        <v>272</v>
      </c>
      <c r="B74" s="4"/>
      <c r="C74" s="30">
        <f>COUNTIFS($A$23:$A$28,"&lt;&gt;",$B$23:$B$28,"")</f>
        <v>0</v>
      </c>
      <c r="D74" s="31" t="str">
        <f t="shared" si="2"/>
        <v>OK</v>
      </c>
      <c r="E74" s="4"/>
      <c r="F74" s="4"/>
      <c r="G74" s="4"/>
      <c r="H74" s="4"/>
    </row>
    <row r="75" ht="15.0" customHeight="1">
      <c r="A75" s="6" t="s">
        <v>273</v>
      </c>
      <c r="B75" s="4"/>
      <c r="C75" s="30">
        <f>COUNTIFS($B$33:$B$42,"Sí",$C$33:$C$42,"")</f>
        <v>0</v>
      </c>
      <c r="D75" s="31" t="str">
        <f t="shared" si="2"/>
        <v>OK</v>
      </c>
      <c r="E75" s="4"/>
      <c r="F75" s="4"/>
      <c r="G75" s="4"/>
      <c r="H75" s="4"/>
    </row>
    <row r="76" ht="15.0" customHeight="1">
      <c r="A76" s="6" t="s">
        <v>274</v>
      </c>
      <c r="B76" s="4"/>
      <c r="C76" s="31" t="str">
        <f>IF(C68&lt;CATALOGOS!$B$78,"MENOR AL MÍNIMO","OK")</f>
        <v>OK</v>
      </c>
      <c r="D76" s="4"/>
      <c r="E76" s="4"/>
      <c r="F76" s="4"/>
      <c r="G76" s="4"/>
      <c r="H76" s="4"/>
    </row>
    <row r="77" ht="15.0" customHeight="1">
      <c r="A77" s="6" t="s">
        <v>275</v>
      </c>
      <c r="B77" s="4"/>
      <c r="C77" s="31" t="str">
        <f>IF(F13="","FALTA FECHA DE APROBACIÓN","OK")</f>
        <v>OK</v>
      </c>
      <c r="D77" s="4"/>
      <c r="E77" s="4"/>
      <c r="F77" s="4"/>
      <c r="G77" s="4"/>
      <c r="H77" s="4"/>
    </row>
    <row r="78" ht="15.75" customHeight="1">
      <c r="A78" s="4"/>
      <c r="B78" s="4"/>
      <c r="C78" s="4"/>
      <c r="D78" s="4"/>
      <c r="E78" s="4"/>
      <c r="F78" s="4"/>
      <c r="G78" s="4"/>
      <c r="H78" s="4"/>
    </row>
    <row r="79" ht="15.75" customHeight="1">
      <c r="A79" s="4"/>
      <c r="B79" s="4"/>
      <c r="C79" s="4"/>
      <c r="D79" s="4"/>
      <c r="E79" s="4"/>
      <c r="F79" s="4"/>
      <c r="G79" s="4"/>
      <c r="H79" s="4"/>
    </row>
    <row r="80" ht="15.75" customHeight="1">
      <c r="A80" s="4"/>
      <c r="B80" s="4"/>
      <c r="C80" s="4"/>
      <c r="D80" s="4"/>
      <c r="E80" s="4"/>
      <c r="F80" s="4"/>
      <c r="G80" s="4"/>
      <c r="H80" s="4"/>
    </row>
    <row r="81" ht="15.75" customHeight="1">
      <c r="A81" s="4"/>
      <c r="B81" s="4"/>
      <c r="C81" s="4"/>
      <c r="D81" s="4"/>
      <c r="E81" s="4"/>
      <c r="F81" s="4"/>
      <c r="G81" s="4"/>
      <c r="H81" s="4"/>
    </row>
    <row r="82" ht="15.75" customHeight="1">
      <c r="A82" s="4"/>
      <c r="B82" s="4"/>
      <c r="C82" s="4"/>
      <c r="D82" s="4"/>
      <c r="E82" s="4"/>
      <c r="F82" s="4"/>
      <c r="G82" s="4"/>
      <c r="H82" s="4"/>
    </row>
    <row r="83" ht="15.75" customHeight="1">
      <c r="A83" s="4"/>
      <c r="B83" s="4"/>
      <c r="C83" s="4"/>
      <c r="D83" s="4"/>
      <c r="E83" s="4"/>
      <c r="F83" s="4"/>
      <c r="G83" s="4"/>
      <c r="H83" s="4"/>
    </row>
    <row r="84" ht="15.75" customHeight="1">
      <c r="A84" s="4"/>
      <c r="B84" s="4"/>
      <c r="C84" s="4"/>
      <c r="D84" s="4"/>
      <c r="E84" s="4"/>
      <c r="F84" s="4"/>
      <c r="G84" s="4"/>
      <c r="H84" s="4"/>
    </row>
    <row r="85" ht="15.75" customHeight="1">
      <c r="A85" s="4"/>
      <c r="B85" s="4"/>
      <c r="C85" s="4"/>
      <c r="D85" s="4"/>
      <c r="E85" s="4"/>
      <c r="F85" s="4"/>
      <c r="G85" s="4"/>
      <c r="H85" s="4"/>
    </row>
    <row r="86" ht="15.75" customHeight="1">
      <c r="A86" s="4"/>
      <c r="B86" s="4"/>
      <c r="C86" s="4"/>
      <c r="D86" s="4"/>
      <c r="E86" s="4"/>
      <c r="F86" s="4"/>
      <c r="G86" s="4"/>
      <c r="H86" s="4"/>
    </row>
    <row r="87" ht="15.75" customHeight="1">
      <c r="A87" s="4"/>
      <c r="B87" s="4"/>
      <c r="C87" s="4"/>
      <c r="D87" s="4"/>
      <c r="E87" s="4"/>
      <c r="F87" s="4"/>
      <c r="G87" s="4"/>
      <c r="H87" s="4"/>
    </row>
    <row r="88" ht="15.75" customHeight="1">
      <c r="A88" s="4"/>
      <c r="B88" s="4"/>
      <c r="C88" s="4"/>
      <c r="D88" s="4"/>
      <c r="E88" s="4"/>
      <c r="F88" s="4"/>
      <c r="G88" s="4"/>
      <c r="H88" s="4"/>
    </row>
    <row r="89" ht="15.75" customHeight="1">
      <c r="A89" s="4"/>
      <c r="B89" s="4"/>
      <c r="C89" s="4"/>
      <c r="D89" s="4"/>
      <c r="E89" s="4"/>
      <c r="F89" s="4"/>
      <c r="G89" s="4"/>
      <c r="H89" s="4"/>
    </row>
    <row r="90" ht="15.75" customHeight="1">
      <c r="A90" s="4"/>
      <c r="B90" s="4"/>
      <c r="C90" s="4"/>
      <c r="D90" s="4"/>
      <c r="E90" s="4"/>
      <c r="F90" s="4"/>
      <c r="G90" s="4"/>
      <c r="H90" s="4"/>
    </row>
    <row r="91" ht="15.75" customHeight="1">
      <c r="A91" s="4"/>
      <c r="B91" s="4"/>
      <c r="C91" s="4"/>
      <c r="D91" s="4"/>
      <c r="E91" s="4"/>
      <c r="F91" s="4"/>
      <c r="G91" s="4"/>
      <c r="H91" s="4"/>
    </row>
    <row r="92" ht="15.75" customHeight="1">
      <c r="A92" s="4"/>
      <c r="B92" s="4"/>
      <c r="C92" s="4"/>
      <c r="D92" s="4"/>
      <c r="E92" s="4"/>
      <c r="F92" s="4"/>
      <c r="G92" s="4"/>
      <c r="H92" s="4"/>
    </row>
    <row r="93" ht="15.75" customHeight="1">
      <c r="A93" s="4"/>
      <c r="B93" s="4"/>
      <c r="C93" s="4"/>
      <c r="D93" s="4"/>
      <c r="E93" s="4"/>
      <c r="F93" s="4"/>
      <c r="G93" s="4"/>
      <c r="H93" s="4"/>
    </row>
    <row r="94" ht="15.75" customHeight="1">
      <c r="A94" s="4"/>
      <c r="B94" s="4"/>
      <c r="C94" s="4"/>
      <c r="D94" s="4"/>
      <c r="E94" s="4"/>
      <c r="F94" s="4"/>
      <c r="G94" s="4"/>
      <c r="H94" s="4"/>
    </row>
    <row r="95" ht="15.75" customHeight="1">
      <c r="A95" s="4"/>
      <c r="B95" s="4"/>
      <c r="C95" s="4"/>
      <c r="D95" s="4"/>
      <c r="E95" s="4"/>
      <c r="F95" s="4"/>
      <c r="G95" s="4"/>
      <c r="H95" s="4"/>
    </row>
    <row r="96" ht="15.75" customHeight="1">
      <c r="A96" s="4"/>
      <c r="B96" s="4"/>
      <c r="C96" s="4"/>
      <c r="D96" s="4"/>
      <c r="E96" s="4"/>
      <c r="F96" s="4"/>
      <c r="G96" s="4"/>
      <c r="H96" s="4"/>
    </row>
    <row r="97" ht="15.75" customHeight="1">
      <c r="A97" s="4"/>
      <c r="B97" s="4"/>
      <c r="C97" s="4"/>
      <c r="D97" s="4"/>
      <c r="E97" s="4"/>
      <c r="F97" s="4"/>
      <c r="G97" s="4"/>
      <c r="H97" s="4"/>
    </row>
    <row r="98" ht="15.75" customHeight="1">
      <c r="A98" s="4"/>
      <c r="B98" s="4"/>
      <c r="C98" s="4"/>
      <c r="D98" s="4"/>
      <c r="E98" s="4"/>
      <c r="F98" s="4"/>
      <c r="G98" s="4"/>
      <c r="H98" s="4"/>
    </row>
    <row r="99" ht="15.75" customHeight="1">
      <c r="A99" s="4"/>
      <c r="B99" s="4"/>
      <c r="C99" s="4"/>
      <c r="D99" s="4"/>
      <c r="E99" s="4"/>
      <c r="F99" s="4"/>
      <c r="G99" s="4"/>
      <c r="H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</row>
  </sheetData>
  <mergeCells count="52">
    <mergeCell ref="F8:G8"/>
    <mergeCell ref="F9:G9"/>
    <mergeCell ref="F10:G10"/>
    <mergeCell ref="A12:H12"/>
    <mergeCell ref="F13:G13"/>
    <mergeCell ref="F14:G14"/>
    <mergeCell ref="F15:G15"/>
    <mergeCell ref="F16:G16"/>
    <mergeCell ref="A1:H1"/>
    <mergeCell ref="A4:H4"/>
    <mergeCell ref="B5:C5"/>
    <mergeCell ref="F5:G5"/>
    <mergeCell ref="B6:C6"/>
    <mergeCell ref="F6:G6"/>
    <mergeCell ref="F7:G7"/>
    <mergeCell ref="B18:C18"/>
    <mergeCell ref="B19:C19"/>
    <mergeCell ref="B7:C7"/>
    <mergeCell ref="B8:C8"/>
    <mergeCell ref="B9:C9"/>
    <mergeCell ref="B10:C10"/>
    <mergeCell ref="B13:C13"/>
    <mergeCell ref="B14:C14"/>
    <mergeCell ref="B15:C15"/>
    <mergeCell ref="B16:C16"/>
    <mergeCell ref="B17:C17"/>
    <mergeCell ref="F17:G17"/>
    <mergeCell ref="F18:G18"/>
    <mergeCell ref="F19:G19"/>
    <mergeCell ref="A21:H21"/>
    <mergeCell ref="A31:H31"/>
    <mergeCell ref="C32:H32"/>
    <mergeCell ref="C33:H33"/>
    <mergeCell ref="C34:H34"/>
    <mergeCell ref="C35:H35"/>
    <mergeCell ref="C36:H36"/>
    <mergeCell ref="C37:H37"/>
    <mergeCell ref="C38:H38"/>
    <mergeCell ref="B48:D48"/>
    <mergeCell ref="B49:D49"/>
    <mergeCell ref="B50:D50"/>
    <mergeCell ref="B51:D51"/>
    <mergeCell ref="B52:D52"/>
    <mergeCell ref="A54:H54"/>
    <mergeCell ref="A66:H66"/>
    <mergeCell ref="C39:H39"/>
    <mergeCell ref="C40:H40"/>
    <mergeCell ref="C41:H41"/>
    <mergeCell ref="C42:H42"/>
    <mergeCell ref="A45:H45"/>
    <mergeCell ref="B46:D46"/>
    <mergeCell ref="B47:D47"/>
  </mergeCells>
  <dataValidations>
    <dataValidation type="list" allowBlank="1" sqref="F15">
      <formula1>CATALOGOS!$E$67:$E$68</formula1>
    </dataValidation>
    <dataValidation type="list" allowBlank="1" sqref="B15">
      <formula1>CATALOGOS!$A$35:$A$42</formula1>
    </dataValidation>
    <dataValidation type="list" allowBlank="1" sqref="B16 F16">
      <formula1>CATALOGOS!$A$47:$A$51</formula1>
    </dataValidation>
    <dataValidation type="list" allowBlank="1" sqref="B17 F17">
      <formula1>CATALOGOS!$B$67:$B$69</formula1>
    </dataValidation>
    <dataValidation type="list" allowBlank="1" sqref="B18 F18 B33:B42">
      <formula1>CATALOGOS!$D$67:$D$68</formula1>
    </dataValidation>
    <dataValidation type="list" allowBlank="1" sqref="B19">
      <formula1>CATALOGOS!$A$56:$A$62</formula1>
    </dataValidation>
    <dataValidation type="list" allowBlank="1" sqref="B10">
      <formula1>CATALOGOS!$F$67:$F$70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5.0"/>
    <col customWidth="1" min="2" max="3" width="22.0"/>
    <col customWidth="1" min="4" max="4" width="18.0"/>
    <col customWidth="1" min="5" max="5" width="8.0"/>
    <col customWidth="1" min="6" max="6" width="9.0"/>
    <col customWidth="1" min="7" max="7" width="16.0"/>
    <col customWidth="1" min="8" max="8" width="15.0"/>
    <col customWidth="1" min="9" max="9" width="12.0"/>
    <col customWidth="1" min="10" max="10" width="16.0"/>
    <col customWidth="1" min="11" max="11" width="14.0"/>
    <col customWidth="1" min="12" max="12" width="8.0"/>
    <col customWidth="1" min="13" max="13" width="15.0"/>
    <col customWidth="1" min="14" max="14" width="9.0"/>
    <col customWidth="1" min="15" max="15" width="10.0"/>
    <col customWidth="1" min="16" max="16" width="34.0"/>
    <col customWidth="1" min="17" max="17" width="11.0"/>
    <col customWidth="1" min="18" max="19" width="10.0"/>
    <col customWidth="1" min="20" max="21" width="11.0"/>
    <col customWidth="1" min="22" max="22" width="13.0"/>
    <col customWidth="1" min="23" max="23" width="10.0"/>
    <col customWidth="1" min="24" max="25" width="9.0"/>
    <col customWidth="1" min="26" max="26" width="30.0"/>
    <col customWidth="1" min="27" max="27" width="8.71"/>
  </cols>
  <sheetData>
    <row r="1" ht="25.5" customHeight="1">
      <c r="A1" s="1" t="s">
        <v>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  <c r="AA1" s="5" t="s">
        <v>6</v>
      </c>
    </row>
    <row r="2" ht="27.75" customHeight="1">
      <c r="A2" s="8" t="s">
        <v>10</v>
      </c>
      <c r="B2" s="8" t="s">
        <v>14</v>
      </c>
      <c r="C2" s="8" t="s">
        <v>16</v>
      </c>
      <c r="D2" s="8" t="s">
        <v>17</v>
      </c>
      <c r="E2" s="8" t="s">
        <v>20</v>
      </c>
      <c r="F2" s="8" t="s">
        <v>21</v>
      </c>
      <c r="G2" s="8" t="s">
        <v>24</v>
      </c>
      <c r="H2" s="8" t="s">
        <v>27</v>
      </c>
      <c r="I2" s="8" t="s">
        <v>30</v>
      </c>
      <c r="J2" s="8" t="s">
        <v>34</v>
      </c>
      <c r="K2" s="8" t="s">
        <v>36</v>
      </c>
      <c r="L2" s="8" t="s">
        <v>39</v>
      </c>
      <c r="M2" s="8" t="s">
        <v>41</v>
      </c>
      <c r="N2" s="8" t="s">
        <v>43</v>
      </c>
      <c r="O2" s="8" t="s">
        <v>46</v>
      </c>
      <c r="P2" s="8" t="s">
        <v>47</v>
      </c>
      <c r="Q2" s="8" t="s">
        <v>26</v>
      </c>
      <c r="R2" s="8" t="s">
        <v>50</v>
      </c>
      <c r="S2" s="8" t="s">
        <v>53</v>
      </c>
      <c r="T2" s="8" t="s">
        <v>54</v>
      </c>
      <c r="U2" s="8" t="s">
        <v>55</v>
      </c>
      <c r="V2" s="8" t="s">
        <v>56</v>
      </c>
      <c r="W2" s="8" t="s">
        <v>28</v>
      </c>
      <c r="X2" s="8" t="s">
        <v>31</v>
      </c>
      <c r="Y2" s="8" t="s">
        <v>33</v>
      </c>
      <c r="Z2" s="8" t="s">
        <v>62</v>
      </c>
    </row>
    <row r="3" ht="15.0" customHeight="1">
      <c r="A3" s="18">
        <f t="shared" ref="A3:A202" si="1">IF($B3="","",ROW()-2)</f>
        <v>1</v>
      </c>
      <c r="B3" s="19" t="s">
        <v>100</v>
      </c>
      <c r="C3" s="19" t="s">
        <v>103</v>
      </c>
      <c r="D3" s="19" t="s">
        <v>61</v>
      </c>
      <c r="E3" s="19" t="s">
        <v>108</v>
      </c>
      <c r="F3" s="19" t="s">
        <v>132</v>
      </c>
      <c r="G3" s="19" t="s">
        <v>135</v>
      </c>
      <c r="H3" s="19" t="s">
        <v>140</v>
      </c>
      <c r="I3" s="19" t="s">
        <v>146</v>
      </c>
      <c r="J3" s="19" t="s">
        <v>136</v>
      </c>
      <c r="K3" s="19" t="s">
        <v>118</v>
      </c>
      <c r="L3" s="19" t="s">
        <v>160</v>
      </c>
      <c r="M3" s="19" t="s">
        <v>151</v>
      </c>
      <c r="N3" s="19" t="s">
        <v>166</v>
      </c>
      <c r="O3" s="19" t="s">
        <v>170</v>
      </c>
      <c r="P3" s="19" t="s">
        <v>171</v>
      </c>
      <c r="Q3" s="21">
        <f t="array" ref="Q3">IF($D3="","",IFERROR(INDEX(CATALOGOS!$B$6:$B$14,MATCH($D3,CATALOGOS!$A$6:$A$14,0)),0))</f>
        <v>45</v>
      </c>
      <c r="R3" s="21">
        <f t="array" ref="R3">IF($E3="",0,IFERROR(INDEX(CATALOGOS!$B$19:$B$30,MATCH($E3,CATALOGOS!$A$19:$A$30,0)),0))</f>
        <v>0</v>
      </c>
      <c r="S3" s="21">
        <f t="array" ref="S3">IF($K3="",0,IFERROR(INDEX(CATALOGOS!$B$35:$B$42,MATCH($K3,CATALOGOS!$A$35:$A$42,0)),0))</f>
        <v>0</v>
      </c>
      <c r="T3" s="21">
        <f t="array" ref="T3">IF($J3="",0,IFERROR(INDEX(CATALOGOS!$B$47:$B$51,MATCH($J3,CATALOGOS!$A$47:$A$51,0)),0))</f>
        <v>0</v>
      </c>
      <c r="U3" s="21">
        <f t="array" ref="U3">IF($M3="",0,IFERROR(INDEX(CATALOGOS!$B$56:$B$62,MATCH($M3,CATALOGOS!$A$56:$A$62,0)),0))</f>
        <v>0</v>
      </c>
      <c r="V3" s="21">
        <f t="shared" ref="V3:V202" si="2">IF($B3="","",IF($O3="Venta",SUM($Q3:$U3),0))</f>
        <v>45</v>
      </c>
      <c r="W3" s="21">
        <f t="array" ref="W3">IF($D3="",0,IFERROR(INDEX(CATALOGOS!$C$6:$C$14,MATCH($D3,CATALOGOS!$A$6:$A$14,0)),0))</f>
        <v>1</v>
      </c>
      <c r="X3" s="21">
        <f t="array" ref="X3">IF($D3="",0,IFERROR(INDEX(CATALOGOS!$D$6:$D$14,MATCH($D3,CATALOGOS!$A$6:$A$14,0)),0))</f>
        <v>1</v>
      </c>
      <c r="Y3" s="21">
        <f t="array" ref="Y3">IF($D3="",0,IFERROR(INDEX(CATALOGOS!$E$6:$E$14,MATCH($D3,CATALOGOS!$A$6:$A$14,0)),0))</f>
        <v>1</v>
      </c>
      <c r="Z3" s="26" t="str">
        <f t="shared" ref="Z3:Z202" si="3">IF(COUNTA($B3:$P3)=0,"",IF($B3="","nombre. ","")&amp;IF($D3="","producto. ","")&amp;IF($E3="","talla. ","")&amp;IF($F3="","número. ","")&amp;IF($H3="","género. ","")&amp;IF($I3="","corte. ","")&amp;IF($O3="","tipo. ",""))</f>
        <v/>
      </c>
    </row>
    <row r="4" ht="15.0" customHeight="1">
      <c r="A4" s="18">
        <f t="shared" si="1"/>
        <v>2</v>
      </c>
      <c r="B4" s="19" t="s">
        <v>247</v>
      </c>
      <c r="C4" s="19"/>
      <c r="D4" s="19" t="s">
        <v>61</v>
      </c>
      <c r="E4" s="19" t="s">
        <v>108</v>
      </c>
      <c r="F4" s="19" t="s">
        <v>132</v>
      </c>
      <c r="G4" s="19" t="s">
        <v>135</v>
      </c>
      <c r="H4" s="19" t="s">
        <v>140</v>
      </c>
      <c r="I4" s="19" t="s">
        <v>146</v>
      </c>
      <c r="J4" s="19" t="s">
        <v>136</v>
      </c>
      <c r="K4" s="19" t="s">
        <v>118</v>
      </c>
      <c r="L4" s="19" t="s">
        <v>160</v>
      </c>
      <c r="M4" s="19" t="s">
        <v>151</v>
      </c>
      <c r="N4" s="19" t="s">
        <v>166</v>
      </c>
      <c r="O4" s="19" t="s">
        <v>170</v>
      </c>
      <c r="P4" s="19"/>
      <c r="Q4" s="21">
        <f t="array" ref="Q4">IF($D4="","",IFERROR(INDEX(CATALOGOS!$B$6:$B$14,MATCH($D4,CATALOGOS!$A$6:$A$14,0)),0))</f>
        <v>45</v>
      </c>
      <c r="R4" s="21">
        <f t="array" ref="R4">IF($E4="",0,IFERROR(INDEX(CATALOGOS!$B$19:$B$30,MATCH($E4,CATALOGOS!$A$19:$A$30,0)),0))</f>
        <v>0</v>
      </c>
      <c r="S4" s="21">
        <f t="array" ref="S4">IF($K4="",0,IFERROR(INDEX(CATALOGOS!$B$35:$B$42,MATCH($K4,CATALOGOS!$A$35:$A$42,0)),0))</f>
        <v>0</v>
      </c>
      <c r="T4" s="21">
        <f t="array" ref="T4">IF($J4="",0,IFERROR(INDEX(CATALOGOS!$B$47:$B$51,MATCH($J4,CATALOGOS!$A$47:$A$51,0)),0))</f>
        <v>0</v>
      </c>
      <c r="U4" s="21">
        <f t="array" ref="U4">IF($M4="",0,IFERROR(INDEX(CATALOGOS!$B$56:$B$62,MATCH($M4,CATALOGOS!$A$56:$A$62,0)),0))</f>
        <v>0</v>
      </c>
      <c r="V4" s="21">
        <f t="shared" si="2"/>
        <v>45</v>
      </c>
      <c r="W4" s="21">
        <f t="array" ref="W4">IF($D4="",0,IFERROR(INDEX(CATALOGOS!$C$6:$C$14,MATCH($D4,CATALOGOS!$A$6:$A$14,0)),0))</f>
        <v>1</v>
      </c>
      <c r="X4" s="21">
        <f t="array" ref="X4">IF($D4="",0,IFERROR(INDEX(CATALOGOS!$D$6:$D$14,MATCH($D4,CATALOGOS!$A$6:$A$14,0)),0))</f>
        <v>1</v>
      </c>
      <c r="Y4" s="21">
        <f t="array" ref="Y4">IF($D4="",0,IFERROR(INDEX(CATALOGOS!$E$6:$E$14,MATCH($D4,CATALOGOS!$A$6:$A$14,0)),0))</f>
        <v>1</v>
      </c>
      <c r="Z4" s="26" t="str">
        <f t="shared" si="3"/>
        <v/>
      </c>
    </row>
    <row r="5" ht="15.0" customHeight="1">
      <c r="A5" s="18">
        <f t="shared" si="1"/>
        <v>3</v>
      </c>
      <c r="B5" s="19" t="s">
        <v>264</v>
      </c>
      <c r="C5" s="19"/>
      <c r="D5" s="19" t="s">
        <v>61</v>
      </c>
      <c r="E5" s="19" t="s">
        <v>108</v>
      </c>
      <c r="F5" s="19" t="s">
        <v>265</v>
      </c>
      <c r="G5" s="19" t="s">
        <v>135</v>
      </c>
      <c r="H5" s="19" t="s">
        <v>140</v>
      </c>
      <c r="I5" s="19" t="s">
        <v>146</v>
      </c>
      <c r="J5" s="19" t="s">
        <v>136</v>
      </c>
      <c r="K5" s="19" t="s">
        <v>118</v>
      </c>
      <c r="L5" s="19" t="s">
        <v>160</v>
      </c>
      <c r="M5" s="19" t="s">
        <v>151</v>
      </c>
      <c r="N5" s="19" t="s">
        <v>166</v>
      </c>
      <c r="O5" s="19" t="s">
        <v>170</v>
      </c>
      <c r="P5" s="19"/>
      <c r="Q5" s="21">
        <f t="array" ref="Q5">IF($D5="","",IFERROR(INDEX(CATALOGOS!$B$6:$B$14,MATCH($D5,CATALOGOS!$A$6:$A$14,0)),0))</f>
        <v>45</v>
      </c>
      <c r="R5" s="21">
        <f t="array" ref="R5">IF($E5="",0,IFERROR(INDEX(CATALOGOS!$B$19:$B$30,MATCH($E5,CATALOGOS!$A$19:$A$30,0)),0))</f>
        <v>0</v>
      </c>
      <c r="S5" s="21">
        <f t="array" ref="S5">IF($K5="",0,IFERROR(INDEX(CATALOGOS!$B$35:$B$42,MATCH($K5,CATALOGOS!$A$35:$A$42,0)),0))</f>
        <v>0</v>
      </c>
      <c r="T5" s="21">
        <f t="array" ref="T5">IF($J5="",0,IFERROR(INDEX(CATALOGOS!$B$47:$B$51,MATCH($J5,CATALOGOS!$A$47:$A$51,0)),0))</f>
        <v>0</v>
      </c>
      <c r="U5" s="21">
        <f t="array" ref="U5">IF($M5="",0,IFERROR(INDEX(CATALOGOS!$B$56:$B$62,MATCH($M5,CATALOGOS!$A$56:$A$62,0)),0))</f>
        <v>0</v>
      </c>
      <c r="V5" s="21">
        <f t="shared" si="2"/>
        <v>45</v>
      </c>
      <c r="W5" s="21">
        <f t="array" ref="W5">IF($D5="",0,IFERROR(INDEX(CATALOGOS!$C$6:$C$14,MATCH($D5,CATALOGOS!$A$6:$A$14,0)),0))</f>
        <v>1</v>
      </c>
      <c r="X5" s="21">
        <f t="array" ref="X5">IF($D5="",0,IFERROR(INDEX(CATALOGOS!$D$6:$D$14,MATCH($D5,CATALOGOS!$A$6:$A$14,0)),0))</f>
        <v>1</v>
      </c>
      <c r="Y5" s="21">
        <f t="array" ref="Y5">IF($D5="",0,IFERROR(INDEX(CATALOGOS!$E$6:$E$14,MATCH($D5,CATALOGOS!$A$6:$A$14,0)),0))</f>
        <v>1</v>
      </c>
      <c r="Z5" s="26" t="str">
        <f t="shared" si="3"/>
        <v/>
      </c>
    </row>
    <row r="6" ht="15.0" customHeight="1">
      <c r="A6" s="18">
        <f t="shared" si="1"/>
        <v>4</v>
      </c>
      <c r="B6" s="19" t="s">
        <v>276</v>
      </c>
      <c r="C6" s="19"/>
      <c r="D6" s="19" t="s">
        <v>61</v>
      </c>
      <c r="E6" s="19" t="s">
        <v>108</v>
      </c>
      <c r="F6" s="19" t="s">
        <v>277</v>
      </c>
      <c r="G6" s="19" t="s">
        <v>135</v>
      </c>
      <c r="H6" s="19" t="s">
        <v>140</v>
      </c>
      <c r="I6" s="19" t="s">
        <v>146</v>
      </c>
      <c r="J6" s="19" t="s">
        <v>136</v>
      </c>
      <c r="K6" s="19" t="s">
        <v>118</v>
      </c>
      <c r="L6" s="19" t="s">
        <v>160</v>
      </c>
      <c r="M6" s="19" t="s">
        <v>151</v>
      </c>
      <c r="N6" s="19" t="s">
        <v>166</v>
      </c>
      <c r="O6" s="19" t="s">
        <v>170</v>
      </c>
      <c r="P6" s="19"/>
      <c r="Q6" s="21">
        <f t="array" ref="Q6">IF($D6="","",IFERROR(INDEX(CATALOGOS!$B$6:$B$14,MATCH($D6,CATALOGOS!$A$6:$A$14,0)),0))</f>
        <v>45</v>
      </c>
      <c r="R6" s="21">
        <f t="array" ref="R6">IF($E6="",0,IFERROR(INDEX(CATALOGOS!$B$19:$B$30,MATCH($E6,CATALOGOS!$A$19:$A$30,0)),0))</f>
        <v>0</v>
      </c>
      <c r="S6" s="21">
        <f t="array" ref="S6">IF($K6="",0,IFERROR(INDEX(CATALOGOS!$B$35:$B$42,MATCH($K6,CATALOGOS!$A$35:$A$42,0)),0))</f>
        <v>0</v>
      </c>
      <c r="T6" s="21">
        <f t="array" ref="T6">IF($J6="",0,IFERROR(INDEX(CATALOGOS!$B$47:$B$51,MATCH($J6,CATALOGOS!$A$47:$A$51,0)),0))</f>
        <v>0</v>
      </c>
      <c r="U6" s="21">
        <f t="array" ref="U6">IF($M6="",0,IFERROR(INDEX(CATALOGOS!$B$56:$B$62,MATCH($M6,CATALOGOS!$A$56:$A$62,0)),0))</f>
        <v>0</v>
      </c>
      <c r="V6" s="21">
        <f t="shared" si="2"/>
        <v>45</v>
      </c>
      <c r="W6" s="21">
        <f t="array" ref="W6">IF($D6="",0,IFERROR(INDEX(CATALOGOS!$C$6:$C$14,MATCH($D6,CATALOGOS!$A$6:$A$14,0)),0))</f>
        <v>1</v>
      </c>
      <c r="X6" s="21">
        <f t="array" ref="X6">IF($D6="",0,IFERROR(INDEX(CATALOGOS!$D$6:$D$14,MATCH($D6,CATALOGOS!$A$6:$A$14,0)),0))</f>
        <v>1</v>
      </c>
      <c r="Y6" s="21">
        <f t="array" ref="Y6">IF($D6="",0,IFERROR(INDEX(CATALOGOS!$E$6:$E$14,MATCH($D6,CATALOGOS!$A$6:$A$14,0)),0))</f>
        <v>1</v>
      </c>
      <c r="Z6" s="26" t="str">
        <f t="shared" si="3"/>
        <v/>
      </c>
    </row>
    <row r="7" ht="15.0" customHeight="1">
      <c r="A7" s="18">
        <f t="shared" si="1"/>
        <v>5</v>
      </c>
      <c r="B7" s="19" t="s">
        <v>278</v>
      </c>
      <c r="C7" s="19"/>
      <c r="D7" s="19" t="s">
        <v>61</v>
      </c>
      <c r="E7" s="19" t="s">
        <v>108</v>
      </c>
      <c r="F7" s="19" t="s">
        <v>98</v>
      </c>
      <c r="G7" s="19" t="s">
        <v>135</v>
      </c>
      <c r="H7" s="19" t="s">
        <v>140</v>
      </c>
      <c r="I7" s="19" t="s">
        <v>146</v>
      </c>
      <c r="J7" s="19" t="s">
        <v>136</v>
      </c>
      <c r="K7" s="19" t="s">
        <v>118</v>
      </c>
      <c r="L7" s="19" t="s">
        <v>160</v>
      </c>
      <c r="M7" s="19" t="s">
        <v>151</v>
      </c>
      <c r="N7" s="19" t="s">
        <v>166</v>
      </c>
      <c r="O7" s="19" t="s">
        <v>170</v>
      </c>
      <c r="P7" s="19"/>
      <c r="Q7" s="21">
        <f t="array" ref="Q7">IF($D7="","",IFERROR(INDEX(CATALOGOS!$B$6:$B$14,MATCH($D7,CATALOGOS!$A$6:$A$14,0)),0))</f>
        <v>45</v>
      </c>
      <c r="R7" s="21">
        <f t="array" ref="R7">IF($E7="",0,IFERROR(INDEX(CATALOGOS!$B$19:$B$30,MATCH($E7,CATALOGOS!$A$19:$A$30,0)),0))</f>
        <v>0</v>
      </c>
      <c r="S7" s="21">
        <f t="array" ref="S7">IF($K7="",0,IFERROR(INDEX(CATALOGOS!$B$35:$B$42,MATCH($K7,CATALOGOS!$A$35:$A$42,0)),0))</f>
        <v>0</v>
      </c>
      <c r="T7" s="21">
        <f t="array" ref="T7">IF($J7="",0,IFERROR(INDEX(CATALOGOS!$B$47:$B$51,MATCH($J7,CATALOGOS!$A$47:$A$51,0)),0))</f>
        <v>0</v>
      </c>
      <c r="U7" s="21">
        <f t="array" ref="U7">IF($M7="",0,IFERROR(INDEX(CATALOGOS!$B$56:$B$62,MATCH($M7,CATALOGOS!$A$56:$A$62,0)),0))</f>
        <v>0</v>
      </c>
      <c r="V7" s="21">
        <f t="shared" si="2"/>
        <v>45</v>
      </c>
      <c r="W7" s="21">
        <f t="array" ref="W7">IF($D7="",0,IFERROR(INDEX(CATALOGOS!$C$6:$C$14,MATCH($D7,CATALOGOS!$A$6:$A$14,0)),0))</f>
        <v>1</v>
      </c>
      <c r="X7" s="21">
        <f t="array" ref="X7">IF($D7="",0,IFERROR(INDEX(CATALOGOS!$D$6:$D$14,MATCH($D7,CATALOGOS!$A$6:$A$14,0)),0))</f>
        <v>1</v>
      </c>
      <c r="Y7" s="21">
        <f t="array" ref="Y7">IF($D7="",0,IFERROR(INDEX(CATALOGOS!$E$6:$E$14,MATCH($D7,CATALOGOS!$A$6:$A$14,0)),0))</f>
        <v>1</v>
      </c>
      <c r="Z7" s="26" t="str">
        <f t="shared" si="3"/>
        <v/>
      </c>
    </row>
    <row r="8" ht="15.0" customHeight="1">
      <c r="A8" s="18">
        <f t="shared" si="1"/>
        <v>6</v>
      </c>
      <c r="B8" s="19" t="s">
        <v>279</v>
      </c>
      <c r="C8" s="19"/>
      <c r="D8" s="19" t="s">
        <v>61</v>
      </c>
      <c r="E8" s="19" t="s">
        <v>108</v>
      </c>
      <c r="F8" s="19" t="s">
        <v>98</v>
      </c>
      <c r="G8" s="19" t="s">
        <v>135</v>
      </c>
      <c r="H8" s="19" t="s">
        <v>140</v>
      </c>
      <c r="I8" s="19" t="s">
        <v>146</v>
      </c>
      <c r="J8" s="19" t="s">
        <v>136</v>
      </c>
      <c r="K8" s="19" t="s">
        <v>118</v>
      </c>
      <c r="L8" s="19" t="s">
        <v>160</v>
      </c>
      <c r="M8" s="19" t="s">
        <v>151</v>
      </c>
      <c r="N8" s="19" t="s">
        <v>166</v>
      </c>
      <c r="O8" s="19" t="s">
        <v>170</v>
      </c>
      <c r="P8" s="19" t="s">
        <v>280</v>
      </c>
      <c r="Q8" s="21">
        <f t="array" ref="Q8">IF($D8="","",IFERROR(INDEX(CATALOGOS!$B$6:$B$14,MATCH($D8,CATALOGOS!$A$6:$A$14,0)),0))</f>
        <v>45</v>
      </c>
      <c r="R8" s="21">
        <f t="array" ref="R8">IF($E8="",0,IFERROR(INDEX(CATALOGOS!$B$19:$B$30,MATCH($E8,CATALOGOS!$A$19:$A$30,0)),0))</f>
        <v>0</v>
      </c>
      <c r="S8" s="21">
        <f t="array" ref="S8">IF($K8="",0,IFERROR(INDEX(CATALOGOS!$B$35:$B$42,MATCH($K8,CATALOGOS!$A$35:$A$42,0)),0))</f>
        <v>0</v>
      </c>
      <c r="T8" s="21">
        <f t="array" ref="T8">IF($J8="",0,IFERROR(INDEX(CATALOGOS!$B$47:$B$51,MATCH($J8,CATALOGOS!$A$47:$A$51,0)),0))</f>
        <v>0</v>
      </c>
      <c r="U8" s="21">
        <f t="array" ref="U8">IF($M8="",0,IFERROR(INDEX(CATALOGOS!$B$56:$B$62,MATCH($M8,CATALOGOS!$A$56:$A$62,0)),0))</f>
        <v>0</v>
      </c>
      <c r="V8" s="21">
        <f t="shared" si="2"/>
        <v>45</v>
      </c>
      <c r="W8" s="21">
        <f t="array" ref="W8">IF($D8="",0,IFERROR(INDEX(CATALOGOS!$C$6:$C$14,MATCH($D8,CATALOGOS!$A$6:$A$14,0)),0))</f>
        <v>1</v>
      </c>
      <c r="X8" s="21">
        <f t="array" ref="X8">IF($D8="",0,IFERROR(INDEX(CATALOGOS!$D$6:$D$14,MATCH($D8,CATALOGOS!$A$6:$A$14,0)),0))</f>
        <v>1</v>
      </c>
      <c r="Y8" s="21">
        <f t="array" ref="Y8">IF($D8="",0,IFERROR(INDEX(CATALOGOS!$E$6:$E$14,MATCH($D8,CATALOGOS!$A$6:$A$14,0)),0))</f>
        <v>1</v>
      </c>
      <c r="Z8" s="26" t="str">
        <f t="shared" si="3"/>
        <v/>
      </c>
    </row>
    <row r="9" ht="15.0" customHeight="1">
      <c r="A9" s="18">
        <f t="shared" si="1"/>
        <v>7</v>
      </c>
      <c r="B9" s="19" t="s">
        <v>281</v>
      </c>
      <c r="C9" s="19"/>
      <c r="D9" s="19" t="s">
        <v>61</v>
      </c>
      <c r="E9" s="19" t="s">
        <v>108</v>
      </c>
      <c r="F9" s="19" t="s">
        <v>132</v>
      </c>
      <c r="G9" s="19" t="s">
        <v>135</v>
      </c>
      <c r="H9" s="19" t="s">
        <v>140</v>
      </c>
      <c r="I9" s="19" t="s">
        <v>146</v>
      </c>
      <c r="J9" s="19" t="s">
        <v>136</v>
      </c>
      <c r="K9" s="19" t="s">
        <v>118</v>
      </c>
      <c r="L9" s="19" t="s">
        <v>160</v>
      </c>
      <c r="M9" s="19" t="s">
        <v>151</v>
      </c>
      <c r="N9" s="19" t="s">
        <v>166</v>
      </c>
      <c r="O9" s="19" t="s">
        <v>170</v>
      </c>
      <c r="P9" s="19"/>
      <c r="Q9" s="21">
        <f t="array" ref="Q9">IF($D9="","",IFERROR(INDEX(CATALOGOS!$B$6:$B$14,MATCH($D9,CATALOGOS!$A$6:$A$14,0)),0))</f>
        <v>45</v>
      </c>
      <c r="R9" s="21">
        <f t="array" ref="R9">IF($E9="",0,IFERROR(INDEX(CATALOGOS!$B$19:$B$30,MATCH($E9,CATALOGOS!$A$19:$A$30,0)),0))</f>
        <v>0</v>
      </c>
      <c r="S9" s="21">
        <f t="array" ref="S9">IF($K9="",0,IFERROR(INDEX(CATALOGOS!$B$35:$B$42,MATCH($K9,CATALOGOS!$A$35:$A$42,0)),0))</f>
        <v>0</v>
      </c>
      <c r="T9" s="21">
        <f t="array" ref="T9">IF($J9="",0,IFERROR(INDEX(CATALOGOS!$B$47:$B$51,MATCH($J9,CATALOGOS!$A$47:$A$51,0)),0))</f>
        <v>0</v>
      </c>
      <c r="U9" s="21">
        <f t="array" ref="U9">IF($M9="",0,IFERROR(INDEX(CATALOGOS!$B$56:$B$62,MATCH($M9,CATALOGOS!$A$56:$A$62,0)),0))</f>
        <v>0</v>
      </c>
      <c r="V9" s="21">
        <f t="shared" si="2"/>
        <v>45</v>
      </c>
      <c r="W9" s="21">
        <f t="array" ref="W9">IF($D9="",0,IFERROR(INDEX(CATALOGOS!$C$6:$C$14,MATCH($D9,CATALOGOS!$A$6:$A$14,0)),0))</f>
        <v>1</v>
      </c>
      <c r="X9" s="21">
        <f t="array" ref="X9">IF($D9="",0,IFERROR(INDEX(CATALOGOS!$D$6:$D$14,MATCH($D9,CATALOGOS!$A$6:$A$14,0)),0))</f>
        <v>1</v>
      </c>
      <c r="Y9" s="21">
        <f t="array" ref="Y9">IF($D9="",0,IFERROR(INDEX(CATALOGOS!$E$6:$E$14,MATCH($D9,CATALOGOS!$A$6:$A$14,0)),0))</f>
        <v>1</v>
      </c>
      <c r="Z9" s="26" t="str">
        <f t="shared" si="3"/>
        <v/>
      </c>
    </row>
    <row r="10" ht="15.0" customHeight="1">
      <c r="A10" s="18">
        <f t="shared" si="1"/>
        <v>8</v>
      </c>
      <c r="B10" s="19" t="s">
        <v>282</v>
      </c>
      <c r="C10" s="19"/>
      <c r="D10" s="19" t="s">
        <v>61</v>
      </c>
      <c r="E10" s="19" t="s">
        <v>108</v>
      </c>
      <c r="F10" s="19" t="s">
        <v>95</v>
      </c>
      <c r="G10" s="19" t="s">
        <v>135</v>
      </c>
      <c r="H10" s="19" t="s">
        <v>140</v>
      </c>
      <c r="I10" s="19" t="s">
        <v>146</v>
      </c>
      <c r="J10" s="19" t="s">
        <v>136</v>
      </c>
      <c r="K10" s="19" t="s">
        <v>118</v>
      </c>
      <c r="L10" s="19" t="s">
        <v>160</v>
      </c>
      <c r="M10" s="19" t="s">
        <v>151</v>
      </c>
      <c r="N10" s="19" t="s">
        <v>166</v>
      </c>
      <c r="O10" s="19" t="s">
        <v>170</v>
      </c>
      <c r="P10" s="19"/>
      <c r="Q10" s="21">
        <f t="array" ref="Q10">IF($D10="","",IFERROR(INDEX(CATALOGOS!$B$6:$B$14,MATCH($D10,CATALOGOS!$A$6:$A$14,0)),0))</f>
        <v>45</v>
      </c>
      <c r="R10" s="21">
        <f t="array" ref="R10">IF($E10="",0,IFERROR(INDEX(CATALOGOS!$B$19:$B$30,MATCH($E10,CATALOGOS!$A$19:$A$30,0)),0))</f>
        <v>0</v>
      </c>
      <c r="S10" s="21">
        <f t="array" ref="S10">IF($K10="",0,IFERROR(INDEX(CATALOGOS!$B$35:$B$42,MATCH($K10,CATALOGOS!$A$35:$A$42,0)),0))</f>
        <v>0</v>
      </c>
      <c r="T10" s="21">
        <f t="array" ref="T10">IF($J10="",0,IFERROR(INDEX(CATALOGOS!$B$47:$B$51,MATCH($J10,CATALOGOS!$A$47:$A$51,0)),0))</f>
        <v>0</v>
      </c>
      <c r="U10" s="21">
        <f t="array" ref="U10">IF($M10="",0,IFERROR(INDEX(CATALOGOS!$B$56:$B$62,MATCH($M10,CATALOGOS!$A$56:$A$62,0)),0))</f>
        <v>0</v>
      </c>
      <c r="V10" s="21">
        <f t="shared" si="2"/>
        <v>45</v>
      </c>
      <c r="W10" s="21">
        <f t="array" ref="W10">IF($D10="",0,IFERROR(INDEX(CATALOGOS!$C$6:$C$14,MATCH($D10,CATALOGOS!$A$6:$A$14,0)),0))</f>
        <v>1</v>
      </c>
      <c r="X10" s="21">
        <f t="array" ref="X10">IF($D10="",0,IFERROR(INDEX(CATALOGOS!$D$6:$D$14,MATCH($D10,CATALOGOS!$A$6:$A$14,0)),0))</f>
        <v>1</v>
      </c>
      <c r="Y10" s="21">
        <f t="array" ref="Y10">IF($D10="",0,IFERROR(INDEX(CATALOGOS!$E$6:$E$14,MATCH($D10,CATALOGOS!$A$6:$A$14,0)),0))</f>
        <v>1</v>
      </c>
      <c r="Z10" s="26" t="str">
        <f t="shared" si="3"/>
        <v/>
      </c>
    </row>
    <row r="11" ht="15.0" customHeight="1">
      <c r="A11" s="18">
        <f t="shared" si="1"/>
        <v>9</v>
      </c>
      <c r="B11" s="19" t="s">
        <v>283</v>
      </c>
      <c r="C11" s="19"/>
      <c r="D11" s="19" t="s">
        <v>61</v>
      </c>
      <c r="E11" s="19" t="s">
        <v>109</v>
      </c>
      <c r="F11" s="19" t="s">
        <v>284</v>
      </c>
      <c r="G11" s="19" t="s">
        <v>135</v>
      </c>
      <c r="H11" s="19" t="s">
        <v>140</v>
      </c>
      <c r="I11" s="19" t="s">
        <v>146</v>
      </c>
      <c r="J11" s="19" t="s">
        <v>136</v>
      </c>
      <c r="K11" s="19" t="s">
        <v>118</v>
      </c>
      <c r="L11" s="19" t="s">
        <v>160</v>
      </c>
      <c r="M11" s="19" t="s">
        <v>151</v>
      </c>
      <c r="N11" s="19" t="s">
        <v>166</v>
      </c>
      <c r="O11" s="19" t="s">
        <v>170</v>
      </c>
      <c r="P11" s="19"/>
      <c r="Q11" s="21">
        <f t="array" ref="Q11">IF($D11="","",IFERROR(INDEX(CATALOGOS!$B$6:$B$14,MATCH($D11,CATALOGOS!$A$6:$A$14,0)),0))</f>
        <v>45</v>
      </c>
      <c r="R11" s="21">
        <f t="array" ref="R11">IF($E11="",0,IFERROR(INDEX(CATALOGOS!$B$19:$B$30,MATCH($E11,CATALOGOS!$A$19:$A$30,0)),0))</f>
        <v>0</v>
      </c>
      <c r="S11" s="21">
        <f t="array" ref="S11">IF($K11="",0,IFERROR(INDEX(CATALOGOS!$B$35:$B$42,MATCH($K11,CATALOGOS!$A$35:$A$42,0)),0))</f>
        <v>0</v>
      </c>
      <c r="T11" s="21">
        <f t="array" ref="T11">IF($J11="",0,IFERROR(INDEX(CATALOGOS!$B$47:$B$51,MATCH($J11,CATALOGOS!$A$47:$A$51,0)),0))</f>
        <v>0</v>
      </c>
      <c r="U11" s="21">
        <f t="array" ref="U11">IF($M11="",0,IFERROR(INDEX(CATALOGOS!$B$56:$B$62,MATCH($M11,CATALOGOS!$A$56:$A$62,0)),0))</f>
        <v>0</v>
      </c>
      <c r="V11" s="21">
        <f t="shared" si="2"/>
        <v>45</v>
      </c>
      <c r="W11" s="21">
        <f t="array" ref="W11">IF($D11="",0,IFERROR(INDEX(CATALOGOS!$C$6:$C$14,MATCH($D11,CATALOGOS!$A$6:$A$14,0)),0))</f>
        <v>1</v>
      </c>
      <c r="X11" s="21">
        <f t="array" ref="X11">IF($D11="",0,IFERROR(INDEX(CATALOGOS!$D$6:$D$14,MATCH($D11,CATALOGOS!$A$6:$A$14,0)),0))</f>
        <v>1</v>
      </c>
      <c r="Y11" s="21">
        <f t="array" ref="Y11">IF($D11="",0,IFERROR(INDEX(CATALOGOS!$E$6:$E$14,MATCH($D11,CATALOGOS!$A$6:$A$14,0)),0))</f>
        <v>1</v>
      </c>
      <c r="Z11" s="26" t="str">
        <f t="shared" si="3"/>
        <v/>
      </c>
    </row>
    <row r="12" ht="15.0" customHeight="1">
      <c r="A12" s="18">
        <f t="shared" si="1"/>
        <v>10</v>
      </c>
      <c r="B12" s="19" t="s">
        <v>285</v>
      </c>
      <c r="C12" s="19"/>
      <c r="D12" s="19" t="s">
        <v>61</v>
      </c>
      <c r="E12" s="19" t="s">
        <v>109</v>
      </c>
      <c r="F12" s="19" t="s">
        <v>286</v>
      </c>
      <c r="G12" s="19" t="s">
        <v>135</v>
      </c>
      <c r="H12" s="19" t="s">
        <v>140</v>
      </c>
      <c r="I12" s="19" t="s">
        <v>146</v>
      </c>
      <c r="J12" s="19" t="s">
        <v>136</v>
      </c>
      <c r="K12" s="19" t="s">
        <v>118</v>
      </c>
      <c r="L12" s="19" t="s">
        <v>160</v>
      </c>
      <c r="M12" s="19" t="s">
        <v>151</v>
      </c>
      <c r="N12" s="19" t="s">
        <v>166</v>
      </c>
      <c r="O12" s="19" t="s">
        <v>170</v>
      </c>
      <c r="P12" s="19"/>
      <c r="Q12" s="21">
        <f t="array" ref="Q12">IF($D12="","",IFERROR(INDEX(CATALOGOS!$B$6:$B$14,MATCH($D12,CATALOGOS!$A$6:$A$14,0)),0))</f>
        <v>45</v>
      </c>
      <c r="R12" s="21">
        <f t="array" ref="R12">IF($E12="",0,IFERROR(INDEX(CATALOGOS!$B$19:$B$30,MATCH($E12,CATALOGOS!$A$19:$A$30,0)),0))</f>
        <v>0</v>
      </c>
      <c r="S12" s="21">
        <f t="array" ref="S12">IF($K12="",0,IFERROR(INDEX(CATALOGOS!$B$35:$B$42,MATCH($K12,CATALOGOS!$A$35:$A$42,0)),0))</f>
        <v>0</v>
      </c>
      <c r="T12" s="21">
        <f t="array" ref="T12">IF($J12="",0,IFERROR(INDEX(CATALOGOS!$B$47:$B$51,MATCH($J12,CATALOGOS!$A$47:$A$51,0)),0))</f>
        <v>0</v>
      </c>
      <c r="U12" s="21">
        <f t="array" ref="U12">IF($M12="",0,IFERROR(INDEX(CATALOGOS!$B$56:$B$62,MATCH($M12,CATALOGOS!$A$56:$A$62,0)),0))</f>
        <v>0</v>
      </c>
      <c r="V12" s="21">
        <f t="shared" si="2"/>
        <v>45</v>
      </c>
      <c r="W12" s="21">
        <f t="array" ref="W12">IF($D12="",0,IFERROR(INDEX(CATALOGOS!$C$6:$C$14,MATCH($D12,CATALOGOS!$A$6:$A$14,0)),0))</f>
        <v>1</v>
      </c>
      <c r="X12" s="21">
        <f t="array" ref="X12">IF($D12="",0,IFERROR(INDEX(CATALOGOS!$D$6:$D$14,MATCH($D12,CATALOGOS!$A$6:$A$14,0)),0))</f>
        <v>1</v>
      </c>
      <c r="Y12" s="21">
        <f t="array" ref="Y12">IF($D12="",0,IFERROR(INDEX(CATALOGOS!$E$6:$E$14,MATCH($D12,CATALOGOS!$A$6:$A$14,0)),0))</f>
        <v>1</v>
      </c>
      <c r="Z12" s="26" t="str">
        <f t="shared" si="3"/>
        <v/>
      </c>
    </row>
    <row r="13" ht="15.0" customHeight="1">
      <c r="A13" s="18">
        <f t="shared" si="1"/>
        <v>11</v>
      </c>
      <c r="B13" s="19" t="s">
        <v>287</v>
      </c>
      <c r="C13" s="19"/>
      <c r="D13" s="19" t="s">
        <v>61</v>
      </c>
      <c r="E13" s="19" t="s">
        <v>109</v>
      </c>
      <c r="F13" s="19" t="s">
        <v>99</v>
      </c>
      <c r="G13" s="19" t="s">
        <v>135</v>
      </c>
      <c r="H13" s="19" t="s">
        <v>140</v>
      </c>
      <c r="I13" s="19" t="s">
        <v>146</v>
      </c>
      <c r="J13" s="19" t="s">
        <v>136</v>
      </c>
      <c r="K13" s="19" t="s">
        <v>118</v>
      </c>
      <c r="L13" s="19" t="s">
        <v>160</v>
      </c>
      <c r="M13" s="19" t="s">
        <v>151</v>
      </c>
      <c r="N13" s="19" t="s">
        <v>166</v>
      </c>
      <c r="O13" s="19" t="s">
        <v>170</v>
      </c>
      <c r="P13" s="19"/>
      <c r="Q13" s="21">
        <f t="array" ref="Q13">IF($D13="","",IFERROR(INDEX(CATALOGOS!$B$6:$B$14,MATCH($D13,CATALOGOS!$A$6:$A$14,0)),0))</f>
        <v>45</v>
      </c>
      <c r="R13" s="21">
        <f t="array" ref="R13">IF($E13="",0,IFERROR(INDEX(CATALOGOS!$B$19:$B$30,MATCH($E13,CATALOGOS!$A$19:$A$30,0)),0))</f>
        <v>0</v>
      </c>
      <c r="S13" s="21">
        <f t="array" ref="S13">IF($K13="",0,IFERROR(INDEX(CATALOGOS!$B$35:$B$42,MATCH($K13,CATALOGOS!$A$35:$A$42,0)),0))</f>
        <v>0</v>
      </c>
      <c r="T13" s="21">
        <f t="array" ref="T13">IF($J13="",0,IFERROR(INDEX(CATALOGOS!$B$47:$B$51,MATCH($J13,CATALOGOS!$A$47:$A$51,0)),0))</f>
        <v>0</v>
      </c>
      <c r="U13" s="21">
        <f t="array" ref="U13">IF($M13="",0,IFERROR(INDEX(CATALOGOS!$B$56:$B$62,MATCH($M13,CATALOGOS!$A$56:$A$62,0)),0))</f>
        <v>0</v>
      </c>
      <c r="V13" s="21">
        <f t="shared" si="2"/>
        <v>45</v>
      </c>
      <c r="W13" s="21">
        <f t="array" ref="W13">IF($D13="",0,IFERROR(INDEX(CATALOGOS!$C$6:$C$14,MATCH($D13,CATALOGOS!$A$6:$A$14,0)),0))</f>
        <v>1</v>
      </c>
      <c r="X13" s="21">
        <f t="array" ref="X13">IF($D13="",0,IFERROR(INDEX(CATALOGOS!$D$6:$D$14,MATCH($D13,CATALOGOS!$A$6:$A$14,0)),0))</f>
        <v>1</v>
      </c>
      <c r="Y13" s="21">
        <f t="array" ref="Y13">IF($D13="",0,IFERROR(INDEX(CATALOGOS!$E$6:$E$14,MATCH($D13,CATALOGOS!$A$6:$A$14,0)),0))</f>
        <v>1</v>
      </c>
      <c r="Z13" s="26" t="str">
        <f t="shared" si="3"/>
        <v/>
      </c>
    </row>
    <row r="14" ht="15.0" customHeight="1">
      <c r="A14" s="18">
        <f t="shared" si="1"/>
        <v>12</v>
      </c>
      <c r="B14" s="19" t="s">
        <v>296</v>
      </c>
      <c r="C14" s="19"/>
      <c r="D14" s="19" t="s">
        <v>61</v>
      </c>
      <c r="E14" s="19" t="s">
        <v>109</v>
      </c>
      <c r="F14" s="19" t="s">
        <v>94</v>
      </c>
      <c r="G14" s="19" t="s">
        <v>135</v>
      </c>
      <c r="H14" s="19" t="s">
        <v>140</v>
      </c>
      <c r="I14" s="19" t="s">
        <v>146</v>
      </c>
      <c r="J14" s="19" t="s">
        <v>136</v>
      </c>
      <c r="K14" s="19" t="s">
        <v>118</v>
      </c>
      <c r="L14" s="19" t="s">
        <v>160</v>
      </c>
      <c r="M14" s="19" t="s">
        <v>151</v>
      </c>
      <c r="N14" s="19" t="s">
        <v>166</v>
      </c>
      <c r="O14" s="19" t="s">
        <v>170</v>
      </c>
      <c r="P14" s="19"/>
      <c r="Q14" s="21">
        <f t="array" ref="Q14">IF($D14="","",IFERROR(INDEX(CATALOGOS!$B$6:$B$14,MATCH($D14,CATALOGOS!$A$6:$A$14,0)),0))</f>
        <v>45</v>
      </c>
      <c r="R14" s="21">
        <f t="array" ref="R14">IF($E14="",0,IFERROR(INDEX(CATALOGOS!$B$19:$B$30,MATCH($E14,CATALOGOS!$A$19:$A$30,0)),0))</f>
        <v>0</v>
      </c>
      <c r="S14" s="21">
        <f t="array" ref="S14">IF($K14="",0,IFERROR(INDEX(CATALOGOS!$B$35:$B$42,MATCH($K14,CATALOGOS!$A$35:$A$42,0)),0))</f>
        <v>0</v>
      </c>
      <c r="T14" s="21">
        <f t="array" ref="T14">IF($J14="",0,IFERROR(INDEX(CATALOGOS!$B$47:$B$51,MATCH($J14,CATALOGOS!$A$47:$A$51,0)),0))</f>
        <v>0</v>
      </c>
      <c r="U14" s="21">
        <f t="array" ref="U14">IF($M14="",0,IFERROR(INDEX(CATALOGOS!$B$56:$B$62,MATCH($M14,CATALOGOS!$A$56:$A$62,0)),0))</f>
        <v>0</v>
      </c>
      <c r="V14" s="21">
        <f t="shared" si="2"/>
        <v>45</v>
      </c>
      <c r="W14" s="21">
        <f t="array" ref="W14">IF($D14="",0,IFERROR(INDEX(CATALOGOS!$C$6:$C$14,MATCH($D14,CATALOGOS!$A$6:$A$14,0)),0))</f>
        <v>1</v>
      </c>
      <c r="X14" s="21">
        <f t="array" ref="X14">IF($D14="",0,IFERROR(INDEX(CATALOGOS!$D$6:$D$14,MATCH($D14,CATALOGOS!$A$6:$A$14,0)),0))</f>
        <v>1</v>
      </c>
      <c r="Y14" s="21">
        <f t="array" ref="Y14">IF($D14="",0,IFERROR(INDEX(CATALOGOS!$E$6:$E$14,MATCH($D14,CATALOGOS!$A$6:$A$14,0)),0))</f>
        <v>1</v>
      </c>
      <c r="Z14" s="26" t="str">
        <f t="shared" si="3"/>
        <v/>
      </c>
    </row>
    <row r="15" ht="15.0" customHeight="1">
      <c r="A15" s="18">
        <f t="shared" si="1"/>
        <v>13</v>
      </c>
      <c r="B15" s="19" t="s">
        <v>303</v>
      </c>
      <c r="C15" s="19"/>
      <c r="D15" s="19" t="s">
        <v>61</v>
      </c>
      <c r="E15" s="19" t="s">
        <v>109</v>
      </c>
      <c r="F15" s="19" t="s">
        <v>132</v>
      </c>
      <c r="G15" s="19" t="s">
        <v>135</v>
      </c>
      <c r="H15" s="19" t="s">
        <v>140</v>
      </c>
      <c r="I15" s="19" t="s">
        <v>146</v>
      </c>
      <c r="J15" s="19" t="s">
        <v>136</v>
      </c>
      <c r="K15" s="19" t="s">
        <v>118</v>
      </c>
      <c r="L15" s="19" t="s">
        <v>160</v>
      </c>
      <c r="M15" s="19" t="s">
        <v>151</v>
      </c>
      <c r="N15" s="19" t="s">
        <v>166</v>
      </c>
      <c r="O15" s="19" t="s">
        <v>170</v>
      </c>
      <c r="P15" s="19"/>
      <c r="Q15" s="21">
        <f t="array" ref="Q15">IF($D15="","",IFERROR(INDEX(CATALOGOS!$B$6:$B$14,MATCH($D15,CATALOGOS!$A$6:$A$14,0)),0))</f>
        <v>45</v>
      </c>
      <c r="R15" s="21">
        <f t="array" ref="R15">IF($E15="",0,IFERROR(INDEX(CATALOGOS!$B$19:$B$30,MATCH($E15,CATALOGOS!$A$19:$A$30,0)),0))</f>
        <v>0</v>
      </c>
      <c r="S15" s="21">
        <f t="array" ref="S15">IF($K15="",0,IFERROR(INDEX(CATALOGOS!$B$35:$B$42,MATCH($K15,CATALOGOS!$A$35:$A$42,0)),0))</f>
        <v>0</v>
      </c>
      <c r="T15" s="21">
        <f t="array" ref="T15">IF($J15="",0,IFERROR(INDEX(CATALOGOS!$B$47:$B$51,MATCH($J15,CATALOGOS!$A$47:$A$51,0)),0))</f>
        <v>0</v>
      </c>
      <c r="U15" s="21">
        <f t="array" ref="U15">IF($M15="",0,IFERROR(INDEX(CATALOGOS!$B$56:$B$62,MATCH($M15,CATALOGOS!$A$56:$A$62,0)),0))</f>
        <v>0</v>
      </c>
      <c r="V15" s="21">
        <f t="shared" si="2"/>
        <v>45</v>
      </c>
      <c r="W15" s="21">
        <f t="array" ref="W15">IF($D15="",0,IFERROR(INDEX(CATALOGOS!$C$6:$C$14,MATCH($D15,CATALOGOS!$A$6:$A$14,0)),0))</f>
        <v>1</v>
      </c>
      <c r="X15" s="21">
        <f t="array" ref="X15">IF($D15="",0,IFERROR(INDEX(CATALOGOS!$D$6:$D$14,MATCH($D15,CATALOGOS!$A$6:$A$14,0)),0))</f>
        <v>1</v>
      </c>
      <c r="Y15" s="21">
        <f t="array" ref="Y15">IF($D15="",0,IFERROR(INDEX(CATALOGOS!$E$6:$E$14,MATCH($D15,CATALOGOS!$A$6:$A$14,0)),0))</f>
        <v>1</v>
      </c>
      <c r="Z15" s="26" t="str">
        <f t="shared" si="3"/>
        <v/>
      </c>
    </row>
    <row r="16" ht="15.0" customHeight="1">
      <c r="A16" s="18">
        <f t="shared" si="1"/>
        <v>14</v>
      </c>
      <c r="B16" s="19" t="s">
        <v>314</v>
      </c>
      <c r="C16" s="19"/>
      <c r="D16" s="19" t="s">
        <v>61</v>
      </c>
      <c r="E16" s="19" t="s">
        <v>109</v>
      </c>
      <c r="F16" s="19" t="s">
        <v>315</v>
      </c>
      <c r="G16" s="19" t="s">
        <v>135</v>
      </c>
      <c r="H16" s="19" t="s">
        <v>140</v>
      </c>
      <c r="I16" s="19" t="s">
        <v>146</v>
      </c>
      <c r="J16" s="19" t="s">
        <v>136</v>
      </c>
      <c r="K16" s="19" t="s">
        <v>118</v>
      </c>
      <c r="L16" s="19" t="s">
        <v>160</v>
      </c>
      <c r="M16" s="19" t="s">
        <v>151</v>
      </c>
      <c r="N16" s="19" t="s">
        <v>166</v>
      </c>
      <c r="O16" s="19" t="s">
        <v>170</v>
      </c>
      <c r="P16" s="19"/>
      <c r="Q16" s="21">
        <f t="array" ref="Q16">IF($D16="","",IFERROR(INDEX(CATALOGOS!$B$6:$B$14,MATCH($D16,CATALOGOS!$A$6:$A$14,0)),0))</f>
        <v>45</v>
      </c>
      <c r="R16" s="21">
        <f t="array" ref="R16">IF($E16="",0,IFERROR(INDEX(CATALOGOS!$B$19:$B$30,MATCH($E16,CATALOGOS!$A$19:$A$30,0)),0))</f>
        <v>0</v>
      </c>
      <c r="S16" s="21">
        <f t="array" ref="S16">IF($K16="",0,IFERROR(INDEX(CATALOGOS!$B$35:$B$42,MATCH($K16,CATALOGOS!$A$35:$A$42,0)),0))</f>
        <v>0</v>
      </c>
      <c r="T16" s="21">
        <f t="array" ref="T16">IF($J16="",0,IFERROR(INDEX(CATALOGOS!$B$47:$B$51,MATCH($J16,CATALOGOS!$A$47:$A$51,0)),0))</f>
        <v>0</v>
      </c>
      <c r="U16" s="21">
        <f t="array" ref="U16">IF($M16="",0,IFERROR(INDEX(CATALOGOS!$B$56:$B$62,MATCH($M16,CATALOGOS!$A$56:$A$62,0)),0))</f>
        <v>0</v>
      </c>
      <c r="V16" s="21">
        <f t="shared" si="2"/>
        <v>45</v>
      </c>
      <c r="W16" s="21">
        <f t="array" ref="W16">IF($D16="",0,IFERROR(INDEX(CATALOGOS!$C$6:$C$14,MATCH($D16,CATALOGOS!$A$6:$A$14,0)),0))</f>
        <v>1</v>
      </c>
      <c r="X16" s="21">
        <f t="array" ref="X16">IF($D16="",0,IFERROR(INDEX(CATALOGOS!$D$6:$D$14,MATCH($D16,CATALOGOS!$A$6:$A$14,0)),0))</f>
        <v>1</v>
      </c>
      <c r="Y16" s="21">
        <f t="array" ref="Y16">IF($D16="",0,IFERROR(INDEX(CATALOGOS!$E$6:$E$14,MATCH($D16,CATALOGOS!$A$6:$A$14,0)),0))</f>
        <v>1</v>
      </c>
      <c r="Z16" s="26" t="str">
        <f t="shared" si="3"/>
        <v/>
      </c>
    </row>
    <row r="17" ht="15.0" customHeight="1">
      <c r="A17" s="18">
        <f t="shared" si="1"/>
        <v>15</v>
      </c>
      <c r="B17" s="19" t="s">
        <v>322</v>
      </c>
      <c r="C17" s="19"/>
      <c r="D17" s="19" t="s">
        <v>61</v>
      </c>
      <c r="E17" s="19" t="s">
        <v>111</v>
      </c>
      <c r="F17" s="19" t="s">
        <v>323</v>
      </c>
      <c r="G17" s="19" t="s">
        <v>135</v>
      </c>
      <c r="H17" s="19" t="s">
        <v>140</v>
      </c>
      <c r="I17" s="19" t="s">
        <v>146</v>
      </c>
      <c r="J17" s="19" t="s">
        <v>136</v>
      </c>
      <c r="K17" s="19" t="s">
        <v>118</v>
      </c>
      <c r="L17" s="19" t="s">
        <v>160</v>
      </c>
      <c r="M17" s="19" t="s">
        <v>151</v>
      </c>
      <c r="N17" s="19" t="s">
        <v>166</v>
      </c>
      <c r="O17" s="19" t="s">
        <v>170</v>
      </c>
      <c r="P17" s="19" t="s">
        <v>324</v>
      </c>
      <c r="Q17" s="21">
        <f t="array" ref="Q17">IF($D17="","",IFERROR(INDEX(CATALOGOS!$B$6:$B$14,MATCH($D17,CATALOGOS!$A$6:$A$14,0)),0))</f>
        <v>45</v>
      </c>
      <c r="R17" s="21">
        <f t="array" ref="R17">IF($E17="",0,IFERROR(INDEX(CATALOGOS!$B$19:$B$30,MATCH($E17,CATALOGOS!$A$19:$A$30,0)),0))</f>
        <v>3</v>
      </c>
      <c r="S17" s="21">
        <f t="array" ref="S17">IF($K17="",0,IFERROR(INDEX(CATALOGOS!$B$35:$B$42,MATCH($K17,CATALOGOS!$A$35:$A$42,0)),0))</f>
        <v>0</v>
      </c>
      <c r="T17" s="21">
        <f t="array" ref="T17">IF($J17="",0,IFERROR(INDEX(CATALOGOS!$B$47:$B$51,MATCH($J17,CATALOGOS!$A$47:$A$51,0)),0))</f>
        <v>0</v>
      </c>
      <c r="U17" s="21">
        <f t="array" ref="U17">IF($M17="",0,IFERROR(INDEX(CATALOGOS!$B$56:$B$62,MATCH($M17,CATALOGOS!$A$56:$A$62,0)),0))</f>
        <v>0</v>
      </c>
      <c r="V17" s="21">
        <f t="shared" si="2"/>
        <v>48</v>
      </c>
      <c r="W17" s="21">
        <f t="array" ref="W17">IF($D17="",0,IFERROR(INDEX(CATALOGOS!$C$6:$C$14,MATCH($D17,CATALOGOS!$A$6:$A$14,0)),0))</f>
        <v>1</v>
      </c>
      <c r="X17" s="21">
        <f t="array" ref="X17">IF($D17="",0,IFERROR(INDEX(CATALOGOS!$D$6:$D$14,MATCH($D17,CATALOGOS!$A$6:$A$14,0)),0))</f>
        <v>1</v>
      </c>
      <c r="Y17" s="21">
        <f t="array" ref="Y17">IF($D17="",0,IFERROR(INDEX(CATALOGOS!$E$6:$E$14,MATCH($D17,CATALOGOS!$A$6:$A$14,0)),0))</f>
        <v>1</v>
      </c>
      <c r="Z17" s="26" t="str">
        <f t="shared" si="3"/>
        <v/>
      </c>
    </row>
    <row r="18" ht="15.0" customHeight="1">
      <c r="A18" s="18">
        <f t="shared" si="1"/>
        <v>16</v>
      </c>
      <c r="B18" s="19" t="s">
        <v>325</v>
      </c>
      <c r="C18" s="19"/>
      <c r="D18" s="19" t="s">
        <v>61</v>
      </c>
      <c r="E18" s="19" t="s">
        <v>111</v>
      </c>
      <c r="F18" s="19" t="s">
        <v>326</v>
      </c>
      <c r="G18" s="19" t="s">
        <v>135</v>
      </c>
      <c r="H18" s="19" t="s">
        <v>140</v>
      </c>
      <c r="I18" s="19" t="s">
        <v>146</v>
      </c>
      <c r="J18" s="19" t="s">
        <v>136</v>
      </c>
      <c r="K18" s="19" t="s">
        <v>118</v>
      </c>
      <c r="L18" s="19" t="s">
        <v>160</v>
      </c>
      <c r="M18" s="19" t="s">
        <v>151</v>
      </c>
      <c r="N18" s="19" t="s">
        <v>166</v>
      </c>
      <c r="O18" s="19" t="s">
        <v>170</v>
      </c>
      <c r="P18" s="19"/>
      <c r="Q18" s="21">
        <f t="array" ref="Q18">IF($D18="","",IFERROR(INDEX(CATALOGOS!$B$6:$B$14,MATCH($D18,CATALOGOS!$A$6:$A$14,0)),0))</f>
        <v>45</v>
      </c>
      <c r="R18" s="21">
        <f t="array" ref="R18">IF($E18="",0,IFERROR(INDEX(CATALOGOS!$B$19:$B$30,MATCH($E18,CATALOGOS!$A$19:$A$30,0)),0))</f>
        <v>3</v>
      </c>
      <c r="S18" s="21">
        <f t="array" ref="S18">IF($K18="",0,IFERROR(INDEX(CATALOGOS!$B$35:$B$42,MATCH($K18,CATALOGOS!$A$35:$A$42,0)),0))</f>
        <v>0</v>
      </c>
      <c r="T18" s="21">
        <f t="array" ref="T18">IF($J18="",0,IFERROR(INDEX(CATALOGOS!$B$47:$B$51,MATCH($J18,CATALOGOS!$A$47:$A$51,0)),0))</f>
        <v>0</v>
      </c>
      <c r="U18" s="21">
        <f t="array" ref="U18">IF($M18="",0,IFERROR(INDEX(CATALOGOS!$B$56:$B$62,MATCH($M18,CATALOGOS!$A$56:$A$62,0)),0))</f>
        <v>0</v>
      </c>
      <c r="V18" s="21">
        <f t="shared" si="2"/>
        <v>48</v>
      </c>
      <c r="W18" s="21">
        <f t="array" ref="W18">IF($D18="",0,IFERROR(INDEX(CATALOGOS!$C$6:$C$14,MATCH($D18,CATALOGOS!$A$6:$A$14,0)),0))</f>
        <v>1</v>
      </c>
      <c r="X18" s="21">
        <f t="array" ref="X18">IF($D18="",0,IFERROR(INDEX(CATALOGOS!$D$6:$D$14,MATCH($D18,CATALOGOS!$A$6:$A$14,0)),0))</f>
        <v>1</v>
      </c>
      <c r="Y18" s="21">
        <f t="array" ref="Y18">IF($D18="",0,IFERROR(INDEX(CATALOGOS!$E$6:$E$14,MATCH($D18,CATALOGOS!$A$6:$A$14,0)),0))</f>
        <v>1</v>
      </c>
      <c r="Z18" s="26" t="str">
        <f t="shared" si="3"/>
        <v/>
      </c>
    </row>
    <row r="19" ht="15.0" customHeight="1">
      <c r="A19" s="18">
        <f t="shared" si="1"/>
        <v>17</v>
      </c>
      <c r="B19" s="19" t="s">
        <v>330</v>
      </c>
      <c r="C19" s="19"/>
      <c r="D19" s="19" t="s">
        <v>40</v>
      </c>
      <c r="E19" s="19" t="s">
        <v>95</v>
      </c>
      <c r="F19" s="19" t="s">
        <v>323</v>
      </c>
      <c r="G19" s="19" t="s">
        <v>135</v>
      </c>
      <c r="H19" s="19" t="s">
        <v>179</v>
      </c>
      <c r="I19" s="19" t="s">
        <v>146</v>
      </c>
      <c r="J19" s="19" t="s">
        <v>136</v>
      </c>
      <c r="K19" s="19" t="s">
        <v>118</v>
      </c>
      <c r="L19" s="19" t="s">
        <v>160</v>
      </c>
      <c r="M19" s="19" t="s">
        <v>151</v>
      </c>
      <c r="N19" s="19" t="s">
        <v>166</v>
      </c>
      <c r="O19" s="19" t="s">
        <v>170</v>
      </c>
      <c r="P19" s="19"/>
      <c r="Q19" s="21">
        <f t="array" ref="Q19">IF($D19="","",IFERROR(INDEX(CATALOGOS!$B$6:$B$14,MATCH($D19,CATALOGOS!$A$6:$A$14,0)),0))</f>
        <v>25</v>
      </c>
      <c r="R19" s="21">
        <f t="array" ref="R19">IF($E19="",0,IFERROR(INDEX(CATALOGOS!$B$19:$B$30,MATCH($E19,CATALOGOS!$A$19:$A$30,0)),0))</f>
        <v>0</v>
      </c>
      <c r="S19" s="21">
        <f t="array" ref="S19">IF($K19="",0,IFERROR(INDEX(CATALOGOS!$B$35:$B$42,MATCH($K19,CATALOGOS!$A$35:$A$42,0)),0))</f>
        <v>0</v>
      </c>
      <c r="T19" s="21">
        <f t="array" ref="T19">IF($J19="",0,IFERROR(INDEX(CATALOGOS!$B$47:$B$51,MATCH($J19,CATALOGOS!$A$47:$A$51,0)),0))</f>
        <v>0</v>
      </c>
      <c r="U19" s="21">
        <f t="array" ref="U19">IF($M19="",0,IFERROR(INDEX(CATALOGOS!$B$56:$B$62,MATCH($M19,CATALOGOS!$A$56:$A$62,0)),0))</f>
        <v>0</v>
      </c>
      <c r="V19" s="21">
        <f t="shared" si="2"/>
        <v>25</v>
      </c>
      <c r="W19" s="21">
        <f t="array" ref="W19">IF($D19="",0,IFERROR(INDEX(CATALOGOS!$C$6:$C$14,MATCH($D19,CATALOGOS!$A$6:$A$14,0)),0))</f>
        <v>1</v>
      </c>
      <c r="X19" s="21">
        <f t="array" ref="X19">IF($D19="",0,IFERROR(INDEX(CATALOGOS!$D$6:$D$14,MATCH($D19,CATALOGOS!$A$6:$A$14,0)),0))</f>
        <v>0</v>
      </c>
      <c r="Y19" s="21">
        <f t="array" ref="Y19">IF($D19="",0,IFERROR(INDEX(CATALOGOS!$E$6:$E$14,MATCH($D19,CATALOGOS!$A$6:$A$14,0)),0))</f>
        <v>0</v>
      </c>
      <c r="Z19" s="26" t="str">
        <f t="shared" si="3"/>
        <v/>
      </c>
    </row>
    <row r="20" ht="15.0" customHeight="1">
      <c r="A20" s="18">
        <f t="shared" si="1"/>
        <v>18</v>
      </c>
      <c r="B20" s="19" t="s">
        <v>340</v>
      </c>
      <c r="C20" s="19"/>
      <c r="D20" s="19" t="s">
        <v>40</v>
      </c>
      <c r="E20" s="19" t="s">
        <v>99</v>
      </c>
      <c r="F20" s="19" t="s">
        <v>94</v>
      </c>
      <c r="G20" s="19" t="s">
        <v>135</v>
      </c>
      <c r="H20" s="19" t="s">
        <v>179</v>
      </c>
      <c r="I20" s="19" t="s">
        <v>146</v>
      </c>
      <c r="J20" s="19" t="s">
        <v>136</v>
      </c>
      <c r="K20" s="19" t="s">
        <v>118</v>
      </c>
      <c r="L20" s="19" t="s">
        <v>160</v>
      </c>
      <c r="M20" s="19" t="s">
        <v>151</v>
      </c>
      <c r="N20" s="19" t="s">
        <v>166</v>
      </c>
      <c r="O20" s="19" t="s">
        <v>170</v>
      </c>
      <c r="P20" s="19"/>
      <c r="Q20" s="21">
        <f t="array" ref="Q20">IF($D20="","",IFERROR(INDEX(CATALOGOS!$B$6:$B$14,MATCH($D20,CATALOGOS!$A$6:$A$14,0)),0))</f>
        <v>25</v>
      </c>
      <c r="R20" s="21">
        <f t="array" ref="R20">IF($E20="",0,IFERROR(INDEX(CATALOGOS!$B$19:$B$30,MATCH($E20,CATALOGOS!$A$19:$A$30,0)),0))</f>
        <v>0</v>
      </c>
      <c r="S20" s="21">
        <f t="array" ref="S20">IF($K20="",0,IFERROR(INDEX(CATALOGOS!$B$35:$B$42,MATCH($K20,CATALOGOS!$A$35:$A$42,0)),0))</f>
        <v>0</v>
      </c>
      <c r="T20" s="21">
        <f t="array" ref="T20">IF($J20="",0,IFERROR(INDEX(CATALOGOS!$B$47:$B$51,MATCH($J20,CATALOGOS!$A$47:$A$51,0)),0))</f>
        <v>0</v>
      </c>
      <c r="U20" s="21">
        <f t="array" ref="U20">IF($M20="",0,IFERROR(INDEX(CATALOGOS!$B$56:$B$62,MATCH($M20,CATALOGOS!$A$56:$A$62,0)),0))</f>
        <v>0</v>
      </c>
      <c r="V20" s="21">
        <f t="shared" si="2"/>
        <v>25</v>
      </c>
      <c r="W20" s="21">
        <f t="array" ref="W20">IF($D20="",0,IFERROR(INDEX(CATALOGOS!$C$6:$C$14,MATCH($D20,CATALOGOS!$A$6:$A$14,0)),0))</f>
        <v>1</v>
      </c>
      <c r="X20" s="21">
        <f t="array" ref="X20">IF($D20="",0,IFERROR(INDEX(CATALOGOS!$D$6:$D$14,MATCH($D20,CATALOGOS!$A$6:$A$14,0)),0))</f>
        <v>0</v>
      </c>
      <c r="Y20" s="21">
        <f t="array" ref="Y20">IF($D20="",0,IFERROR(INDEX(CATALOGOS!$E$6:$E$14,MATCH($D20,CATALOGOS!$A$6:$A$14,0)),0))</f>
        <v>0</v>
      </c>
      <c r="Z20" s="26" t="str">
        <f t="shared" si="3"/>
        <v/>
      </c>
    </row>
    <row r="21" ht="15.0" customHeight="1">
      <c r="A21" s="18">
        <f t="shared" si="1"/>
        <v>19</v>
      </c>
      <c r="B21" s="19" t="s">
        <v>359</v>
      </c>
      <c r="C21" s="19"/>
      <c r="D21" s="19" t="s">
        <v>40</v>
      </c>
      <c r="E21" s="19" t="s">
        <v>104</v>
      </c>
      <c r="F21" s="19" t="s">
        <v>360</v>
      </c>
      <c r="G21" s="19" t="s">
        <v>135</v>
      </c>
      <c r="H21" s="19" t="s">
        <v>174</v>
      </c>
      <c r="I21" s="19" t="s">
        <v>175</v>
      </c>
      <c r="J21" s="19" t="s">
        <v>136</v>
      </c>
      <c r="K21" s="19" t="s">
        <v>118</v>
      </c>
      <c r="L21" s="19" t="s">
        <v>160</v>
      </c>
      <c r="M21" s="19" t="s">
        <v>151</v>
      </c>
      <c r="N21" s="19" t="s">
        <v>166</v>
      </c>
      <c r="O21" s="19" t="s">
        <v>170</v>
      </c>
      <c r="P21" s="19"/>
      <c r="Q21" s="21">
        <f t="array" ref="Q21">IF($D21="","",IFERROR(INDEX(CATALOGOS!$B$6:$B$14,MATCH($D21,CATALOGOS!$A$6:$A$14,0)),0))</f>
        <v>25</v>
      </c>
      <c r="R21" s="21">
        <f t="array" ref="R21">IF($E21="",0,IFERROR(INDEX(CATALOGOS!$B$19:$B$30,MATCH($E21,CATALOGOS!$A$19:$A$30,0)),0))</f>
        <v>0</v>
      </c>
      <c r="S21" s="21">
        <f t="array" ref="S21">IF($K21="",0,IFERROR(INDEX(CATALOGOS!$B$35:$B$42,MATCH($K21,CATALOGOS!$A$35:$A$42,0)),0))</f>
        <v>0</v>
      </c>
      <c r="T21" s="21">
        <f t="array" ref="T21">IF($J21="",0,IFERROR(INDEX(CATALOGOS!$B$47:$B$51,MATCH($J21,CATALOGOS!$A$47:$A$51,0)),0))</f>
        <v>0</v>
      </c>
      <c r="U21" s="21">
        <f t="array" ref="U21">IF($M21="",0,IFERROR(INDEX(CATALOGOS!$B$56:$B$62,MATCH($M21,CATALOGOS!$A$56:$A$62,0)),0))</f>
        <v>0</v>
      </c>
      <c r="V21" s="21">
        <f t="shared" si="2"/>
        <v>25</v>
      </c>
      <c r="W21" s="21">
        <f t="array" ref="W21">IF($D21="",0,IFERROR(INDEX(CATALOGOS!$C$6:$C$14,MATCH($D21,CATALOGOS!$A$6:$A$14,0)),0))</f>
        <v>1</v>
      </c>
      <c r="X21" s="21">
        <f t="array" ref="X21">IF($D21="",0,IFERROR(INDEX(CATALOGOS!$D$6:$D$14,MATCH($D21,CATALOGOS!$A$6:$A$14,0)),0))</f>
        <v>0</v>
      </c>
      <c r="Y21" s="21">
        <f t="array" ref="Y21">IF($D21="",0,IFERROR(INDEX(CATALOGOS!$E$6:$E$14,MATCH($D21,CATALOGOS!$A$6:$A$14,0)),0))</f>
        <v>0</v>
      </c>
      <c r="Z21" s="26" t="str">
        <f t="shared" si="3"/>
        <v/>
      </c>
    </row>
    <row r="22" ht="15.0" customHeight="1">
      <c r="A22" s="18">
        <f t="shared" si="1"/>
        <v>20</v>
      </c>
      <c r="B22" s="19" t="s">
        <v>361</v>
      </c>
      <c r="C22" s="19"/>
      <c r="D22" s="19" t="s">
        <v>40</v>
      </c>
      <c r="E22" s="19" t="s">
        <v>104</v>
      </c>
      <c r="F22" s="19" t="s">
        <v>94</v>
      </c>
      <c r="G22" s="19" t="s">
        <v>135</v>
      </c>
      <c r="H22" s="19" t="s">
        <v>140</v>
      </c>
      <c r="I22" s="19" t="s">
        <v>146</v>
      </c>
      <c r="J22" s="19" t="s">
        <v>136</v>
      </c>
      <c r="K22" s="19" t="s">
        <v>118</v>
      </c>
      <c r="L22" s="19" t="s">
        <v>160</v>
      </c>
      <c r="M22" s="19" t="s">
        <v>151</v>
      </c>
      <c r="N22" s="19" t="s">
        <v>166</v>
      </c>
      <c r="O22" s="19" t="s">
        <v>170</v>
      </c>
      <c r="P22" s="19"/>
      <c r="Q22" s="21">
        <f t="array" ref="Q22">IF($D22="","",IFERROR(INDEX(CATALOGOS!$B$6:$B$14,MATCH($D22,CATALOGOS!$A$6:$A$14,0)),0))</f>
        <v>25</v>
      </c>
      <c r="R22" s="21">
        <f t="array" ref="R22">IF($E22="",0,IFERROR(INDEX(CATALOGOS!$B$19:$B$30,MATCH($E22,CATALOGOS!$A$19:$A$30,0)),0))</f>
        <v>0</v>
      </c>
      <c r="S22" s="21">
        <f t="array" ref="S22">IF($K22="",0,IFERROR(INDEX(CATALOGOS!$B$35:$B$42,MATCH($K22,CATALOGOS!$A$35:$A$42,0)),0))</f>
        <v>0</v>
      </c>
      <c r="T22" s="21">
        <f t="array" ref="T22">IF($J22="",0,IFERROR(INDEX(CATALOGOS!$B$47:$B$51,MATCH($J22,CATALOGOS!$A$47:$A$51,0)),0))</f>
        <v>0</v>
      </c>
      <c r="U22" s="21">
        <f t="array" ref="U22">IF($M22="",0,IFERROR(INDEX(CATALOGOS!$B$56:$B$62,MATCH($M22,CATALOGOS!$A$56:$A$62,0)),0))</f>
        <v>0</v>
      </c>
      <c r="V22" s="21">
        <f t="shared" si="2"/>
        <v>25</v>
      </c>
      <c r="W22" s="21">
        <f t="array" ref="W22">IF($D22="",0,IFERROR(INDEX(CATALOGOS!$C$6:$C$14,MATCH($D22,CATALOGOS!$A$6:$A$14,0)),0))</f>
        <v>1</v>
      </c>
      <c r="X22" s="21">
        <f t="array" ref="X22">IF($D22="",0,IFERROR(INDEX(CATALOGOS!$D$6:$D$14,MATCH($D22,CATALOGOS!$A$6:$A$14,0)),0))</f>
        <v>0</v>
      </c>
      <c r="Y22" s="21">
        <f t="array" ref="Y22">IF($D22="",0,IFERROR(INDEX(CATALOGOS!$E$6:$E$14,MATCH($D22,CATALOGOS!$A$6:$A$14,0)),0))</f>
        <v>0</v>
      </c>
      <c r="Z22" s="26" t="str">
        <f t="shared" si="3"/>
        <v/>
      </c>
    </row>
    <row r="23" ht="15.0" customHeight="1">
      <c r="A23" s="18">
        <f t="shared" si="1"/>
        <v>21</v>
      </c>
      <c r="B23" s="19" t="s">
        <v>362</v>
      </c>
      <c r="C23" s="19"/>
      <c r="D23" s="19" t="s">
        <v>40</v>
      </c>
      <c r="E23" s="19" t="s">
        <v>104</v>
      </c>
      <c r="F23" s="19" t="s">
        <v>363</v>
      </c>
      <c r="G23" s="19" t="s">
        <v>135</v>
      </c>
      <c r="H23" s="19" t="s">
        <v>174</v>
      </c>
      <c r="I23" s="19" t="s">
        <v>175</v>
      </c>
      <c r="J23" s="19" t="s">
        <v>136</v>
      </c>
      <c r="K23" s="19" t="s">
        <v>118</v>
      </c>
      <c r="L23" s="19" t="s">
        <v>160</v>
      </c>
      <c r="M23" s="19" t="s">
        <v>151</v>
      </c>
      <c r="N23" s="19" t="s">
        <v>166</v>
      </c>
      <c r="O23" s="19" t="s">
        <v>170</v>
      </c>
      <c r="P23" s="19"/>
      <c r="Q23" s="21">
        <f t="array" ref="Q23">IF($D23="","",IFERROR(INDEX(CATALOGOS!$B$6:$B$14,MATCH($D23,CATALOGOS!$A$6:$A$14,0)),0))</f>
        <v>25</v>
      </c>
      <c r="R23" s="21">
        <f t="array" ref="R23">IF($E23="",0,IFERROR(INDEX(CATALOGOS!$B$19:$B$30,MATCH($E23,CATALOGOS!$A$19:$A$30,0)),0))</f>
        <v>0</v>
      </c>
      <c r="S23" s="21">
        <f t="array" ref="S23">IF($K23="",0,IFERROR(INDEX(CATALOGOS!$B$35:$B$42,MATCH($K23,CATALOGOS!$A$35:$A$42,0)),0))</f>
        <v>0</v>
      </c>
      <c r="T23" s="21">
        <f t="array" ref="T23">IF($J23="",0,IFERROR(INDEX(CATALOGOS!$B$47:$B$51,MATCH($J23,CATALOGOS!$A$47:$A$51,0)),0))</f>
        <v>0</v>
      </c>
      <c r="U23" s="21">
        <f t="array" ref="U23">IF($M23="",0,IFERROR(INDEX(CATALOGOS!$B$56:$B$62,MATCH($M23,CATALOGOS!$A$56:$A$62,0)),0))</f>
        <v>0</v>
      </c>
      <c r="V23" s="21">
        <f t="shared" si="2"/>
        <v>25</v>
      </c>
      <c r="W23" s="21">
        <f t="array" ref="W23">IF($D23="",0,IFERROR(INDEX(CATALOGOS!$C$6:$C$14,MATCH($D23,CATALOGOS!$A$6:$A$14,0)),0))</f>
        <v>1</v>
      </c>
      <c r="X23" s="21">
        <f t="array" ref="X23">IF($D23="",0,IFERROR(INDEX(CATALOGOS!$D$6:$D$14,MATCH($D23,CATALOGOS!$A$6:$A$14,0)),0))</f>
        <v>0</v>
      </c>
      <c r="Y23" s="21">
        <f t="array" ref="Y23">IF($D23="",0,IFERROR(INDEX(CATALOGOS!$E$6:$E$14,MATCH($D23,CATALOGOS!$A$6:$A$14,0)),0))</f>
        <v>0</v>
      </c>
      <c r="Z23" s="26" t="str">
        <f t="shared" si="3"/>
        <v/>
      </c>
    </row>
    <row r="24" ht="15.0" customHeight="1">
      <c r="A24" s="18">
        <f t="shared" si="1"/>
        <v>22</v>
      </c>
      <c r="B24" s="19" t="s">
        <v>364</v>
      </c>
      <c r="C24" s="19"/>
      <c r="D24" s="19" t="s">
        <v>40</v>
      </c>
      <c r="E24" s="19" t="s">
        <v>108</v>
      </c>
      <c r="F24" s="19" t="s">
        <v>286</v>
      </c>
      <c r="G24" s="19" t="s">
        <v>135</v>
      </c>
      <c r="H24" s="19" t="s">
        <v>174</v>
      </c>
      <c r="I24" s="19" t="s">
        <v>175</v>
      </c>
      <c r="J24" s="19" t="s">
        <v>136</v>
      </c>
      <c r="K24" s="19" t="s">
        <v>118</v>
      </c>
      <c r="L24" s="19" t="s">
        <v>160</v>
      </c>
      <c r="M24" s="19" t="s">
        <v>151</v>
      </c>
      <c r="N24" s="19" t="s">
        <v>166</v>
      </c>
      <c r="O24" s="19" t="s">
        <v>170</v>
      </c>
      <c r="P24" s="19"/>
      <c r="Q24" s="21">
        <f t="array" ref="Q24">IF($D24="","",IFERROR(INDEX(CATALOGOS!$B$6:$B$14,MATCH($D24,CATALOGOS!$A$6:$A$14,0)),0))</f>
        <v>25</v>
      </c>
      <c r="R24" s="21">
        <f t="array" ref="R24">IF($E24="",0,IFERROR(INDEX(CATALOGOS!$B$19:$B$30,MATCH($E24,CATALOGOS!$A$19:$A$30,0)),0))</f>
        <v>0</v>
      </c>
      <c r="S24" s="21">
        <f t="array" ref="S24">IF($K24="",0,IFERROR(INDEX(CATALOGOS!$B$35:$B$42,MATCH($K24,CATALOGOS!$A$35:$A$42,0)),0))</f>
        <v>0</v>
      </c>
      <c r="T24" s="21">
        <f t="array" ref="T24">IF($J24="",0,IFERROR(INDEX(CATALOGOS!$B$47:$B$51,MATCH($J24,CATALOGOS!$A$47:$A$51,0)),0))</f>
        <v>0</v>
      </c>
      <c r="U24" s="21">
        <f t="array" ref="U24">IF($M24="",0,IFERROR(INDEX(CATALOGOS!$B$56:$B$62,MATCH($M24,CATALOGOS!$A$56:$A$62,0)),0))</f>
        <v>0</v>
      </c>
      <c r="V24" s="21">
        <f t="shared" si="2"/>
        <v>25</v>
      </c>
      <c r="W24" s="21">
        <f t="array" ref="W24">IF($D24="",0,IFERROR(INDEX(CATALOGOS!$C$6:$C$14,MATCH($D24,CATALOGOS!$A$6:$A$14,0)),0))</f>
        <v>1</v>
      </c>
      <c r="X24" s="21">
        <f t="array" ref="X24">IF($D24="",0,IFERROR(INDEX(CATALOGOS!$D$6:$D$14,MATCH($D24,CATALOGOS!$A$6:$A$14,0)),0))</f>
        <v>0</v>
      </c>
      <c r="Y24" s="21">
        <f t="array" ref="Y24">IF($D24="",0,IFERROR(INDEX(CATALOGOS!$E$6:$E$14,MATCH($D24,CATALOGOS!$A$6:$A$14,0)),0))</f>
        <v>0</v>
      </c>
      <c r="Z24" s="26" t="str">
        <f t="shared" si="3"/>
        <v/>
      </c>
    </row>
    <row r="25" ht="15.0" customHeight="1">
      <c r="A25" s="18">
        <f t="shared" si="1"/>
        <v>23</v>
      </c>
      <c r="B25" s="19" t="s">
        <v>365</v>
      </c>
      <c r="C25" s="19"/>
      <c r="D25" s="19" t="s">
        <v>40</v>
      </c>
      <c r="E25" s="19" t="s">
        <v>108</v>
      </c>
      <c r="F25" s="19" t="s">
        <v>366</v>
      </c>
      <c r="G25" s="19" t="s">
        <v>135</v>
      </c>
      <c r="H25" s="19" t="s">
        <v>140</v>
      </c>
      <c r="I25" s="19" t="s">
        <v>146</v>
      </c>
      <c r="J25" s="19" t="s">
        <v>136</v>
      </c>
      <c r="K25" s="19" t="s">
        <v>118</v>
      </c>
      <c r="L25" s="19" t="s">
        <v>160</v>
      </c>
      <c r="M25" s="19" t="s">
        <v>151</v>
      </c>
      <c r="N25" s="19" t="s">
        <v>166</v>
      </c>
      <c r="O25" s="19" t="s">
        <v>170</v>
      </c>
      <c r="P25" s="19"/>
      <c r="Q25" s="21">
        <f t="array" ref="Q25">IF($D25="","",IFERROR(INDEX(CATALOGOS!$B$6:$B$14,MATCH($D25,CATALOGOS!$A$6:$A$14,0)),0))</f>
        <v>25</v>
      </c>
      <c r="R25" s="21">
        <f t="array" ref="R25">IF($E25="",0,IFERROR(INDEX(CATALOGOS!$B$19:$B$30,MATCH($E25,CATALOGOS!$A$19:$A$30,0)),0))</f>
        <v>0</v>
      </c>
      <c r="S25" s="21">
        <f t="array" ref="S25">IF($K25="",0,IFERROR(INDEX(CATALOGOS!$B$35:$B$42,MATCH($K25,CATALOGOS!$A$35:$A$42,0)),0))</f>
        <v>0</v>
      </c>
      <c r="T25" s="21">
        <f t="array" ref="T25">IF($J25="",0,IFERROR(INDEX(CATALOGOS!$B$47:$B$51,MATCH($J25,CATALOGOS!$A$47:$A$51,0)),0))</f>
        <v>0</v>
      </c>
      <c r="U25" s="21">
        <f t="array" ref="U25">IF($M25="",0,IFERROR(INDEX(CATALOGOS!$B$56:$B$62,MATCH($M25,CATALOGOS!$A$56:$A$62,0)),0))</f>
        <v>0</v>
      </c>
      <c r="V25" s="21">
        <f t="shared" si="2"/>
        <v>25</v>
      </c>
      <c r="W25" s="21">
        <f t="array" ref="W25">IF($D25="",0,IFERROR(INDEX(CATALOGOS!$C$6:$C$14,MATCH($D25,CATALOGOS!$A$6:$A$14,0)),0))</f>
        <v>1</v>
      </c>
      <c r="X25" s="21">
        <f t="array" ref="X25">IF($D25="",0,IFERROR(INDEX(CATALOGOS!$D$6:$D$14,MATCH($D25,CATALOGOS!$A$6:$A$14,0)),0))</f>
        <v>0</v>
      </c>
      <c r="Y25" s="21">
        <f t="array" ref="Y25">IF($D25="",0,IFERROR(INDEX(CATALOGOS!$E$6:$E$14,MATCH($D25,CATALOGOS!$A$6:$A$14,0)),0))</f>
        <v>0</v>
      </c>
      <c r="Z25" s="26" t="str">
        <f t="shared" si="3"/>
        <v/>
      </c>
    </row>
    <row r="26" ht="15.0" customHeight="1">
      <c r="A26" s="18">
        <f t="shared" si="1"/>
        <v>24</v>
      </c>
      <c r="B26" s="19" t="s">
        <v>367</v>
      </c>
      <c r="C26" s="19"/>
      <c r="D26" s="19" t="s">
        <v>40</v>
      </c>
      <c r="E26" s="19" t="s">
        <v>108</v>
      </c>
      <c r="F26" s="19" t="s">
        <v>94</v>
      </c>
      <c r="G26" s="19" t="s">
        <v>135</v>
      </c>
      <c r="H26" s="19" t="s">
        <v>174</v>
      </c>
      <c r="I26" s="19" t="s">
        <v>175</v>
      </c>
      <c r="J26" s="19" t="s">
        <v>136</v>
      </c>
      <c r="K26" s="19" t="s">
        <v>118</v>
      </c>
      <c r="L26" s="19" t="s">
        <v>160</v>
      </c>
      <c r="M26" s="19" t="s">
        <v>151</v>
      </c>
      <c r="N26" s="19" t="s">
        <v>166</v>
      </c>
      <c r="O26" s="19" t="s">
        <v>170</v>
      </c>
      <c r="P26" s="19"/>
      <c r="Q26" s="21">
        <f t="array" ref="Q26">IF($D26="","",IFERROR(INDEX(CATALOGOS!$B$6:$B$14,MATCH($D26,CATALOGOS!$A$6:$A$14,0)),0))</f>
        <v>25</v>
      </c>
      <c r="R26" s="21">
        <f t="array" ref="R26">IF($E26="",0,IFERROR(INDEX(CATALOGOS!$B$19:$B$30,MATCH($E26,CATALOGOS!$A$19:$A$30,0)),0))</f>
        <v>0</v>
      </c>
      <c r="S26" s="21">
        <f t="array" ref="S26">IF($K26="",0,IFERROR(INDEX(CATALOGOS!$B$35:$B$42,MATCH($K26,CATALOGOS!$A$35:$A$42,0)),0))</f>
        <v>0</v>
      </c>
      <c r="T26" s="21">
        <f t="array" ref="T26">IF($J26="",0,IFERROR(INDEX(CATALOGOS!$B$47:$B$51,MATCH($J26,CATALOGOS!$A$47:$A$51,0)),0))</f>
        <v>0</v>
      </c>
      <c r="U26" s="21">
        <f t="array" ref="U26">IF($M26="",0,IFERROR(INDEX(CATALOGOS!$B$56:$B$62,MATCH($M26,CATALOGOS!$A$56:$A$62,0)),0))</f>
        <v>0</v>
      </c>
      <c r="V26" s="21">
        <f t="shared" si="2"/>
        <v>25</v>
      </c>
      <c r="W26" s="21">
        <f t="array" ref="W26">IF($D26="",0,IFERROR(INDEX(CATALOGOS!$C$6:$C$14,MATCH($D26,CATALOGOS!$A$6:$A$14,0)),0))</f>
        <v>1</v>
      </c>
      <c r="X26" s="21">
        <f t="array" ref="X26">IF($D26="",0,IFERROR(INDEX(CATALOGOS!$D$6:$D$14,MATCH($D26,CATALOGOS!$A$6:$A$14,0)),0))</f>
        <v>0</v>
      </c>
      <c r="Y26" s="21">
        <f t="array" ref="Y26">IF($D26="",0,IFERROR(INDEX(CATALOGOS!$E$6:$E$14,MATCH($D26,CATALOGOS!$A$6:$A$14,0)),0))</f>
        <v>0</v>
      </c>
      <c r="Z26" s="26" t="str">
        <f t="shared" si="3"/>
        <v/>
      </c>
    </row>
    <row r="27" ht="15.0" customHeight="1">
      <c r="A27" s="18">
        <f t="shared" si="1"/>
        <v>25</v>
      </c>
      <c r="B27" s="19" t="s">
        <v>368</v>
      </c>
      <c r="C27" s="19"/>
      <c r="D27" s="19" t="s">
        <v>40</v>
      </c>
      <c r="E27" s="19" t="s">
        <v>108</v>
      </c>
      <c r="F27" s="19" t="s">
        <v>95</v>
      </c>
      <c r="G27" s="19" t="s">
        <v>135</v>
      </c>
      <c r="H27" s="19" t="s">
        <v>174</v>
      </c>
      <c r="I27" s="19" t="s">
        <v>175</v>
      </c>
      <c r="J27" s="19" t="s">
        <v>136</v>
      </c>
      <c r="K27" s="19" t="s">
        <v>118</v>
      </c>
      <c r="L27" s="19" t="s">
        <v>160</v>
      </c>
      <c r="M27" s="19" t="s">
        <v>151</v>
      </c>
      <c r="N27" s="19" t="s">
        <v>166</v>
      </c>
      <c r="O27" s="19" t="s">
        <v>170</v>
      </c>
      <c r="P27" s="19"/>
      <c r="Q27" s="21">
        <f t="array" ref="Q27">IF($D27="","",IFERROR(INDEX(CATALOGOS!$B$6:$B$14,MATCH($D27,CATALOGOS!$A$6:$A$14,0)),0))</f>
        <v>25</v>
      </c>
      <c r="R27" s="21">
        <f t="array" ref="R27">IF($E27="",0,IFERROR(INDEX(CATALOGOS!$B$19:$B$30,MATCH($E27,CATALOGOS!$A$19:$A$30,0)),0))</f>
        <v>0</v>
      </c>
      <c r="S27" s="21">
        <f t="array" ref="S27">IF($K27="",0,IFERROR(INDEX(CATALOGOS!$B$35:$B$42,MATCH($K27,CATALOGOS!$A$35:$A$42,0)),0))</f>
        <v>0</v>
      </c>
      <c r="T27" s="21">
        <f t="array" ref="T27">IF($J27="",0,IFERROR(INDEX(CATALOGOS!$B$47:$B$51,MATCH($J27,CATALOGOS!$A$47:$A$51,0)),0))</f>
        <v>0</v>
      </c>
      <c r="U27" s="21">
        <f t="array" ref="U27">IF($M27="",0,IFERROR(INDEX(CATALOGOS!$B$56:$B$62,MATCH($M27,CATALOGOS!$A$56:$A$62,0)),0))</f>
        <v>0</v>
      </c>
      <c r="V27" s="21">
        <f t="shared" si="2"/>
        <v>25</v>
      </c>
      <c r="W27" s="21">
        <f t="array" ref="W27">IF($D27="",0,IFERROR(INDEX(CATALOGOS!$C$6:$C$14,MATCH($D27,CATALOGOS!$A$6:$A$14,0)),0))</f>
        <v>1</v>
      </c>
      <c r="X27" s="21">
        <f t="array" ref="X27">IF($D27="",0,IFERROR(INDEX(CATALOGOS!$D$6:$D$14,MATCH($D27,CATALOGOS!$A$6:$A$14,0)),0))</f>
        <v>0</v>
      </c>
      <c r="Y27" s="21">
        <f t="array" ref="Y27">IF($D27="",0,IFERROR(INDEX(CATALOGOS!$E$6:$E$14,MATCH($D27,CATALOGOS!$A$6:$A$14,0)),0))</f>
        <v>0</v>
      </c>
      <c r="Z27" s="26" t="str">
        <f t="shared" si="3"/>
        <v/>
      </c>
    </row>
    <row r="28" ht="15.0" customHeight="1">
      <c r="A28" s="18">
        <f t="shared" si="1"/>
        <v>26</v>
      </c>
      <c r="B28" s="19" t="s">
        <v>369</v>
      </c>
      <c r="C28" s="19"/>
      <c r="D28" s="19" t="s">
        <v>40</v>
      </c>
      <c r="E28" s="19" t="s">
        <v>109</v>
      </c>
      <c r="F28" s="19" t="s">
        <v>370</v>
      </c>
      <c r="G28" s="19" t="s">
        <v>135</v>
      </c>
      <c r="H28" s="19" t="s">
        <v>174</v>
      </c>
      <c r="I28" s="19" t="s">
        <v>175</v>
      </c>
      <c r="J28" s="19" t="s">
        <v>136</v>
      </c>
      <c r="K28" s="19" t="s">
        <v>118</v>
      </c>
      <c r="L28" s="19" t="s">
        <v>160</v>
      </c>
      <c r="M28" s="19" t="s">
        <v>151</v>
      </c>
      <c r="N28" s="19" t="s">
        <v>166</v>
      </c>
      <c r="O28" s="19" t="s">
        <v>170</v>
      </c>
      <c r="P28" s="19"/>
      <c r="Q28" s="21">
        <f t="array" ref="Q28">IF($D28="","",IFERROR(INDEX(CATALOGOS!$B$6:$B$14,MATCH($D28,CATALOGOS!$A$6:$A$14,0)),0))</f>
        <v>25</v>
      </c>
      <c r="R28" s="21">
        <f t="array" ref="R28">IF($E28="",0,IFERROR(INDEX(CATALOGOS!$B$19:$B$30,MATCH($E28,CATALOGOS!$A$19:$A$30,0)),0))</f>
        <v>0</v>
      </c>
      <c r="S28" s="21">
        <f t="array" ref="S28">IF($K28="",0,IFERROR(INDEX(CATALOGOS!$B$35:$B$42,MATCH($K28,CATALOGOS!$A$35:$A$42,0)),0))</f>
        <v>0</v>
      </c>
      <c r="T28" s="21">
        <f t="array" ref="T28">IF($J28="",0,IFERROR(INDEX(CATALOGOS!$B$47:$B$51,MATCH($J28,CATALOGOS!$A$47:$A$51,0)),0))</f>
        <v>0</v>
      </c>
      <c r="U28" s="21">
        <f t="array" ref="U28">IF($M28="",0,IFERROR(INDEX(CATALOGOS!$B$56:$B$62,MATCH($M28,CATALOGOS!$A$56:$A$62,0)),0))</f>
        <v>0</v>
      </c>
      <c r="V28" s="21">
        <f t="shared" si="2"/>
        <v>25</v>
      </c>
      <c r="W28" s="21">
        <f t="array" ref="W28">IF($D28="",0,IFERROR(INDEX(CATALOGOS!$C$6:$C$14,MATCH($D28,CATALOGOS!$A$6:$A$14,0)),0))</f>
        <v>1</v>
      </c>
      <c r="X28" s="21">
        <f t="array" ref="X28">IF($D28="",0,IFERROR(INDEX(CATALOGOS!$D$6:$D$14,MATCH($D28,CATALOGOS!$A$6:$A$14,0)),0))</f>
        <v>0</v>
      </c>
      <c r="Y28" s="21">
        <f t="array" ref="Y28">IF($D28="",0,IFERROR(INDEX(CATALOGOS!$E$6:$E$14,MATCH($D28,CATALOGOS!$A$6:$A$14,0)),0))</f>
        <v>0</v>
      </c>
      <c r="Z28" s="26" t="str">
        <f t="shared" si="3"/>
        <v/>
      </c>
    </row>
    <row r="29" ht="15.0" customHeight="1">
      <c r="A29" s="18">
        <f t="shared" si="1"/>
        <v>27</v>
      </c>
      <c r="B29" s="19" t="s">
        <v>371</v>
      </c>
      <c r="C29" s="19"/>
      <c r="D29" s="19" t="s">
        <v>61</v>
      </c>
      <c r="E29" s="19" t="s">
        <v>109</v>
      </c>
      <c r="F29" s="19" t="s">
        <v>363</v>
      </c>
      <c r="G29" s="19" t="s">
        <v>219</v>
      </c>
      <c r="H29" s="19" t="s">
        <v>140</v>
      </c>
      <c r="I29" s="19" t="s">
        <v>146</v>
      </c>
      <c r="J29" s="19" t="s">
        <v>136</v>
      </c>
      <c r="K29" s="19" t="s">
        <v>118</v>
      </c>
      <c r="L29" s="19" t="s">
        <v>160</v>
      </c>
      <c r="M29" s="19" t="s">
        <v>151</v>
      </c>
      <c r="N29" s="19" t="s">
        <v>166</v>
      </c>
      <c r="O29" s="19" t="s">
        <v>170</v>
      </c>
      <c r="P29" s="19"/>
      <c r="Q29" s="21">
        <f t="array" ref="Q29">IF($D29="","",IFERROR(INDEX(CATALOGOS!$B$6:$B$14,MATCH($D29,CATALOGOS!$A$6:$A$14,0)),0))</f>
        <v>45</v>
      </c>
      <c r="R29" s="21">
        <f t="array" ref="R29">IF($E29="",0,IFERROR(INDEX(CATALOGOS!$B$19:$B$30,MATCH($E29,CATALOGOS!$A$19:$A$30,0)),0))</f>
        <v>0</v>
      </c>
      <c r="S29" s="21">
        <f t="array" ref="S29">IF($K29="",0,IFERROR(INDEX(CATALOGOS!$B$35:$B$42,MATCH($K29,CATALOGOS!$A$35:$A$42,0)),0))</f>
        <v>0</v>
      </c>
      <c r="T29" s="21">
        <f t="array" ref="T29">IF($J29="",0,IFERROR(INDEX(CATALOGOS!$B$47:$B$51,MATCH($J29,CATALOGOS!$A$47:$A$51,0)),0))</f>
        <v>0</v>
      </c>
      <c r="U29" s="21">
        <f t="array" ref="U29">IF($M29="",0,IFERROR(INDEX(CATALOGOS!$B$56:$B$62,MATCH($M29,CATALOGOS!$A$56:$A$62,0)),0))</f>
        <v>0</v>
      </c>
      <c r="V29" s="21">
        <f t="shared" si="2"/>
        <v>45</v>
      </c>
      <c r="W29" s="21">
        <f t="array" ref="W29">IF($D29="",0,IFERROR(INDEX(CATALOGOS!$C$6:$C$14,MATCH($D29,CATALOGOS!$A$6:$A$14,0)),0))</f>
        <v>1</v>
      </c>
      <c r="X29" s="21">
        <f t="array" ref="X29">IF($D29="",0,IFERROR(INDEX(CATALOGOS!$D$6:$D$14,MATCH($D29,CATALOGOS!$A$6:$A$14,0)),0))</f>
        <v>1</v>
      </c>
      <c r="Y29" s="21">
        <f t="array" ref="Y29">IF($D29="",0,IFERROR(INDEX(CATALOGOS!$E$6:$E$14,MATCH($D29,CATALOGOS!$A$6:$A$14,0)),0))</f>
        <v>1</v>
      </c>
      <c r="Z29" s="26" t="str">
        <f t="shared" si="3"/>
        <v/>
      </c>
    </row>
    <row r="30" ht="15.0" customHeight="1">
      <c r="A30" s="18">
        <f t="shared" si="1"/>
        <v>28</v>
      </c>
      <c r="B30" s="19" t="s">
        <v>322</v>
      </c>
      <c r="C30" s="19"/>
      <c r="D30" s="19" t="s">
        <v>40</v>
      </c>
      <c r="E30" s="19" t="s">
        <v>111</v>
      </c>
      <c r="F30" s="19" t="s">
        <v>323</v>
      </c>
      <c r="G30" s="19" t="s">
        <v>219</v>
      </c>
      <c r="H30" s="19" t="s">
        <v>140</v>
      </c>
      <c r="I30" s="19" t="s">
        <v>146</v>
      </c>
      <c r="J30" s="19" t="s">
        <v>136</v>
      </c>
      <c r="K30" s="19" t="s">
        <v>118</v>
      </c>
      <c r="L30" s="19" t="s">
        <v>160</v>
      </c>
      <c r="M30" s="19" t="s">
        <v>151</v>
      </c>
      <c r="N30" s="19" t="s">
        <v>166</v>
      </c>
      <c r="O30" s="19" t="s">
        <v>170</v>
      </c>
      <c r="P30" s="19" t="s">
        <v>324</v>
      </c>
      <c r="Q30" s="21">
        <f t="array" ref="Q30">IF($D30="","",IFERROR(INDEX(CATALOGOS!$B$6:$B$14,MATCH($D30,CATALOGOS!$A$6:$A$14,0)),0))</f>
        <v>25</v>
      </c>
      <c r="R30" s="21">
        <f t="array" ref="R30">IF($E30="",0,IFERROR(INDEX(CATALOGOS!$B$19:$B$30,MATCH($E30,CATALOGOS!$A$19:$A$30,0)),0))</f>
        <v>3</v>
      </c>
      <c r="S30" s="21">
        <f t="array" ref="S30">IF($K30="",0,IFERROR(INDEX(CATALOGOS!$B$35:$B$42,MATCH($K30,CATALOGOS!$A$35:$A$42,0)),0))</f>
        <v>0</v>
      </c>
      <c r="T30" s="21">
        <f t="array" ref="T30">IF($J30="",0,IFERROR(INDEX(CATALOGOS!$B$47:$B$51,MATCH($J30,CATALOGOS!$A$47:$A$51,0)),0))</f>
        <v>0</v>
      </c>
      <c r="U30" s="21">
        <f t="array" ref="U30">IF($M30="",0,IFERROR(INDEX(CATALOGOS!$B$56:$B$62,MATCH($M30,CATALOGOS!$A$56:$A$62,0)),0))</f>
        <v>0</v>
      </c>
      <c r="V30" s="21">
        <f t="shared" si="2"/>
        <v>28</v>
      </c>
      <c r="W30" s="21">
        <f t="array" ref="W30">IF($D30="",0,IFERROR(INDEX(CATALOGOS!$C$6:$C$14,MATCH($D30,CATALOGOS!$A$6:$A$14,0)),0))</f>
        <v>1</v>
      </c>
      <c r="X30" s="21">
        <f t="array" ref="X30">IF($D30="",0,IFERROR(INDEX(CATALOGOS!$D$6:$D$14,MATCH($D30,CATALOGOS!$A$6:$A$14,0)),0))</f>
        <v>0</v>
      </c>
      <c r="Y30" s="21">
        <f t="array" ref="Y30">IF($D30="",0,IFERROR(INDEX(CATALOGOS!$E$6:$E$14,MATCH($D30,CATALOGOS!$A$6:$A$14,0)),0))</f>
        <v>0</v>
      </c>
      <c r="Z30" s="26" t="str">
        <f t="shared" si="3"/>
        <v/>
      </c>
    </row>
    <row r="31" ht="15.0" customHeight="1">
      <c r="A31" s="18" t="str">
        <f t="shared" si="1"/>
        <v/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21" t="str">
        <f t="array" ref="Q31">IF($D31="","",IFERROR(INDEX(CATALOGOS!$B$6:$B$14,MATCH($D31,CATALOGOS!$A$6:$A$14,0)),0))</f>
        <v/>
      </c>
      <c r="R31" s="21">
        <f t="array" ref="R31">IF($E31="",0,IFERROR(INDEX(CATALOGOS!$B$19:$B$30,MATCH($E31,CATALOGOS!$A$19:$A$30,0)),0))</f>
        <v>0</v>
      </c>
      <c r="S31" s="21">
        <f t="array" ref="S31">IF($K31="",0,IFERROR(INDEX(CATALOGOS!$B$35:$B$42,MATCH($K31,CATALOGOS!$A$35:$A$42,0)),0))</f>
        <v>0</v>
      </c>
      <c r="T31" s="21">
        <f t="array" ref="T31">IF($J31="",0,IFERROR(INDEX(CATALOGOS!$B$47:$B$51,MATCH($J31,CATALOGOS!$A$47:$A$51,0)),0))</f>
        <v>0</v>
      </c>
      <c r="U31" s="21">
        <f t="array" ref="U31">IF($M31="",0,IFERROR(INDEX(CATALOGOS!$B$56:$B$62,MATCH($M31,CATALOGOS!$A$56:$A$62,0)),0))</f>
        <v>0</v>
      </c>
      <c r="V31" s="21" t="str">
        <f t="shared" si="2"/>
        <v/>
      </c>
      <c r="W31" s="21">
        <f t="array" ref="W31">IF($D31="",0,IFERROR(INDEX(CATALOGOS!$C$6:$C$14,MATCH($D31,CATALOGOS!$A$6:$A$14,0)),0))</f>
        <v>0</v>
      </c>
      <c r="X31" s="21">
        <f t="array" ref="X31">IF($D31="",0,IFERROR(INDEX(CATALOGOS!$D$6:$D$14,MATCH($D31,CATALOGOS!$A$6:$A$14,0)),0))</f>
        <v>0</v>
      </c>
      <c r="Y31" s="21">
        <f t="array" ref="Y31">IF($D31="",0,IFERROR(INDEX(CATALOGOS!$E$6:$E$14,MATCH($D31,CATALOGOS!$A$6:$A$14,0)),0))</f>
        <v>0</v>
      </c>
      <c r="Z31" s="26" t="str">
        <f t="shared" si="3"/>
        <v/>
      </c>
    </row>
    <row r="32" ht="15.0" customHeight="1">
      <c r="A32" s="18" t="str">
        <f t="shared" si="1"/>
        <v/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21" t="str">
        <f t="array" ref="Q32">IF($D32="","",IFERROR(INDEX(CATALOGOS!$B$6:$B$14,MATCH($D32,CATALOGOS!$A$6:$A$14,0)),0))</f>
        <v/>
      </c>
      <c r="R32" s="21">
        <f t="array" ref="R32">IF($E32="",0,IFERROR(INDEX(CATALOGOS!$B$19:$B$30,MATCH($E32,CATALOGOS!$A$19:$A$30,0)),0))</f>
        <v>0</v>
      </c>
      <c r="S32" s="21">
        <f t="array" ref="S32">IF($K32="",0,IFERROR(INDEX(CATALOGOS!$B$35:$B$42,MATCH($K32,CATALOGOS!$A$35:$A$42,0)),0))</f>
        <v>0</v>
      </c>
      <c r="T32" s="21">
        <f t="array" ref="T32">IF($J32="",0,IFERROR(INDEX(CATALOGOS!$B$47:$B$51,MATCH($J32,CATALOGOS!$A$47:$A$51,0)),0))</f>
        <v>0</v>
      </c>
      <c r="U32" s="21">
        <f t="array" ref="U32">IF($M32="",0,IFERROR(INDEX(CATALOGOS!$B$56:$B$62,MATCH($M32,CATALOGOS!$A$56:$A$62,0)),0))</f>
        <v>0</v>
      </c>
      <c r="V32" s="21" t="str">
        <f t="shared" si="2"/>
        <v/>
      </c>
      <c r="W32" s="21">
        <f t="array" ref="W32">IF($D32="",0,IFERROR(INDEX(CATALOGOS!$C$6:$C$14,MATCH($D32,CATALOGOS!$A$6:$A$14,0)),0))</f>
        <v>0</v>
      </c>
      <c r="X32" s="21">
        <f t="array" ref="X32">IF($D32="",0,IFERROR(INDEX(CATALOGOS!$D$6:$D$14,MATCH($D32,CATALOGOS!$A$6:$A$14,0)),0))</f>
        <v>0</v>
      </c>
      <c r="Y32" s="21">
        <f t="array" ref="Y32">IF($D32="",0,IFERROR(INDEX(CATALOGOS!$E$6:$E$14,MATCH($D32,CATALOGOS!$A$6:$A$14,0)),0))</f>
        <v>0</v>
      </c>
      <c r="Z32" s="26" t="str">
        <f t="shared" si="3"/>
        <v/>
      </c>
    </row>
    <row r="33" ht="15.0" customHeight="1">
      <c r="A33" s="18" t="str">
        <f t="shared" si="1"/>
        <v/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21" t="str">
        <f t="array" ref="Q33">IF($D33="","",IFERROR(INDEX(CATALOGOS!$B$6:$B$14,MATCH($D33,CATALOGOS!$A$6:$A$14,0)),0))</f>
        <v/>
      </c>
      <c r="R33" s="21">
        <f t="array" ref="R33">IF($E33="",0,IFERROR(INDEX(CATALOGOS!$B$19:$B$30,MATCH($E33,CATALOGOS!$A$19:$A$30,0)),0))</f>
        <v>0</v>
      </c>
      <c r="S33" s="21">
        <f t="array" ref="S33">IF($K33="",0,IFERROR(INDEX(CATALOGOS!$B$35:$B$42,MATCH($K33,CATALOGOS!$A$35:$A$42,0)),0))</f>
        <v>0</v>
      </c>
      <c r="T33" s="21">
        <f t="array" ref="T33">IF($J33="",0,IFERROR(INDEX(CATALOGOS!$B$47:$B$51,MATCH($J33,CATALOGOS!$A$47:$A$51,0)),0))</f>
        <v>0</v>
      </c>
      <c r="U33" s="21">
        <f t="array" ref="U33">IF($M33="",0,IFERROR(INDEX(CATALOGOS!$B$56:$B$62,MATCH($M33,CATALOGOS!$A$56:$A$62,0)),0))</f>
        <v>0</v>
      </c>
      <c r="V33" s="21" t="str">
        <f t="shared" si="2"/>
        <v/>
      </c>
      <c r="W33" s="21">
        <f t="array" ref="W33">IF($D33="",0,IFERROR(INDEX(CATALOGOS!$C$6:$C$14,MATCH($D33,CATALOGOS!$A$6:$A$14,0)),0))</f>
        <v>0</v>
      </c>
      <c r="X33" s="21">
        <f t="array" ref="X33">IF($D33="",0,IFERROR(INDEX(CATALOGOS!$D$6:$D$14,MATCH($D33,CATALOGOS!$A$6:$A$14,0)),0))</f>
        <v>0</v>
      </c>
      <c r="Y33" s="21">
        <f t="array" ref="Y33">IF($D33="",0,IFERROR(INDEX(CATALOGOS!$E$6:$E$14,MATCH($D33,CATALOGOS!$A$6:$A$14,0)),0))</f>
        <v>0</v>
      </c>
      <c r="Z33" s="26" t="str">
        <f t="shared" si="3"/>
        <v/>
      </c>
    </row>
    <row r="34" ht="15.0" customHeight="1">
      <c r="A34" s="18" t="str">
        <f t="shared" si="1"/>
        <v/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21" t="str">
        <f t="array" ref="Q34">IF($D34="","",IFERROR(INDEX(CATALOGOS!$B$6:$B$14,MATCH($D34,CATALOGOS!$A$6:$A$14,0)),0))</f>
        <v/>
      </c>
      <c r="R34" s="21">
        <f t="array" ref="R34">IF($E34="",0,IFERROR(INDEX(CATALOGOS!$B$19:$B$30,MATCH($E34,CATALOGOS!$A$19:$A$30,0)),0))</f>
        <v>0</v>
      </c>
      <c r="S34" s="21">
        <f t="array" ref="S34">IF($K34="",0,IFERROR(INDEX(CATALOGOS!$B$35:$B$42,MATCH($K34,CATALOGOS!$A$35:$A$42,0)),0))</f>
        <v>0</v>
      </c>
      <c r="T34" s="21">
        <f t="array" ref="T34">IF($J34="",0,IFERROR(INDEX(CATALOGOS!$B$47:$B$51,MATCH($J34,CATALOGOS!$A$47:$A$51,0)),0))</f>
        <v>0</v>
      </c>
      <c r="U34" s="21">
        <f t="array" ref="U34">IF($M34="",0,IFERROR(INDEX(CATALOGOS!$B$56:$B$62,MATCH($M34,CATALOGOS!$A$56:$A$62,0)),0))</f>
        <v>0</v>
      </c>
      <c r="V34" s="21" t="str">
        <f t="shared" si="2"/>
        <v/>
      </c>
      <c r="W34" s="21">
        <f t="array" ref="W34">IF($D34="",0,IFERROR(INDEX(CATALOGOS!$C$6:$C$14,MATCH($D34,CATALOGOS!$A$6:$A$14,0)),0))</f>
        <v>0</v>
      </c>
      <c r="X34" s="21">
        <f t="array" ref="X34">IF($D34="",0,IFERROR(INDEX(CATALOGOS!$D$6:$D$14,MATCH($D34,CATALOGOS!$A$6:$A$14,0)),0))</f>
        <v>0</v>
      </c>
      <c r="Y34" s="21">
        <f t="array" ref="Y34">IF($D34="",0,IFERROR(INDEX(CATALOGOS!$E$6:$E$14,MATCH($D34,CATALOGOS!$A$6:$A$14,0)),0))</f>
        <v>0</v>
      </c>
      <c r="Z34" s="26" t="str">
        <f t="shared" si="3"/>
        <v/>
      </c>
    </row>
    <row r="35" ht="15.0" customHeight="1">
      <c r="A35" s="18" t="str">
        <f t="shared" si="1"/>
        <v/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21" t="str">
        <f t="array" ref="Q35">IF($D35="","",IFERROR(INDEX(CATALOGOS!$B$6:$B$14,MATCH($D35,CATALOGOS!$A$6:$A$14,0)),0))</f>
        <v/>
      </c>
      <c r="R35" s="21">
        <f t="array" ref="R35">IF($E35="",0,IFERROR(INDEX(CATALOGOS!$B$19:$B$30,MATCH($E35,CATALOGOS!$A$19:$A$30,0)),0))</f>
        <v>0</v>
      </c>
      <c r="S35" s="21">
        <f t="array" ref="S35">IF($K35="",0,IFERROR(INDEX(CATALOGOS!$B$35:$B$42,MATCH($K35,CATALOGOS!$A$35:$A$42,0)),0))</f>
        <v>0</v>
      </c>
      <c r="T35" s="21">
        <f t="array" ref="T35">IF($J35="",0,IFERROR(INDEX(CATALOGOS!$B$47:$B$51,MATCH($J35,CATALOGOS!$A$47:$A$51,0)),0))</f>
        <v>0</v>
      </c>
      <c r="U35" s="21">
        <f t="array" ref="U35">IF($M35="",0,IFERROR(INDEX(CATALOGOS!$B$56:$B$62,MATCH($M35,CATALOGOS!$A$56:$A$62,0)),0))</f>
        <v>0</v>
      </c>
      <c r="V35" s="21" t="str">
        <f t="shared" si="2"/>
        <v/>
      </c>
      <c r="W35" s="21">
        <f t="array" ref="W35">IF($D35="",0,IFERROR(INDEX(CATALOGOS!$C$6:$C$14,MATCH($D35,CATALOGOS!$A$6:$A$14,0)),0))</f>
        <v>0</v>
      </c>
      <c r="X35" s="21">
        <f t="array" ref="X35">IF($D35="",0,IFERROR(INDEX(CATALOGOS!$D$6:$D$14,MATCH($D35,CATALOGOS!$A$6:$A$14,0)),0))</f>
        <v>0</v>
      </c>
      <c r="Y35" s="21">
        <f t="array" ref="Y35">IF($D35="",0,IFERROR(INDEX(CATALOGOS!$E$6:$E$14,MATCH($D35,CATALOGOS!$A$6:$A$14,0)),0))</f>
        <v>0</v>
      </c>
      <c r="Z35" s="26" t="str">
        <f t="shared" si="3"/>
        <v/>
      </c>
    </row>
    <row r="36" ht="15.0" customHeight="1">
      <c r="A36" s="18" t="str">
        <f t="shared" si="1"/>
        <v/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21" t="str">
        <f t="array" ref="Q36">IF($D36="","",IFERROR(INDEX(CATALOGOS!$B$6:$B$14,MATCH($D36,CATALOGOS!$A$6:$A$14,0)),0))</f>
        <v/>
      </c>
      <c r="R36" s="21">
        <f t="array" ref="R36">IF($E36="",0,IFERROR(INDEX(CATALOGOS!$B$19:$B$30,MATCH($E36,CATALOGOS!$A$19:$A$30,0)),0))</f>
        <v>0</v>
      </c>
      <c r="S36" s="21">
        <f t="array" ref="S36">IF($K36="",0,IFERROR(INDEX(CATALOGOS!$B$35:$B$42,MATCH($K36,CATALOGOS!$A$35:$A$42,0)),0))</f>
        <v>0</v>
      </c>
      <c r="T36" s="21">
        <f t="array" ref="T36">IF($J36="",0,IFERROR(INDEX(CATALOGOS!$B$47:$B$51,MATCH($J36,CATALOGOS!$A$47:$A$51,0)),0))</f>
        <v>0</v>
      </c>
      <c r="U36" s="21">
        <f t="array" ref="U36">IF($M36="",0,IFERROR(INDEX(CATALOGOS!$B$56:$B$62,MATCH($M36,CATALOGOS!$A$56:$A$62,0)),0))</f>
        <v>0</v>
      </c>
      <c r="V36" s="21" t="str">
        <f t="shared" si="2"/>
        <v/>
      </c>
      <c r="W36" s="21">
        <f t="array" ref="W36">IF($D36="",0,IFERROR(INDEX(CATALOGOS!$C$6:$C$14,MATCH($D36,CATALOGOS!$A$6:$A$14,0)),0))</f>
        <v>0</v>
      </c>
      <c r="X36" s="21">
        <f t="array" ref="X36">IF($D36="",0,IFERROR(INDEX(CATALOGOS!$D$6:$D$14,MATCH($D36,CATALOGOS!$A$6:$A$14,0)),0))</f>
        <v>0</v>
      </c>
      <c r="Y36" s="21">
        <f t="array" ref="Y36">IF($D36="",0,IFERROR(INDEX(CATALOGOS!$E$6:$E$14,MATCH($D36,CATALOGOS!$A$6:$A$14,0)),0))</f>
        <v>0</v>
      </c>
      <c r="Z36" s="26" t="str">
        <f t="shared" si="3"/>
        <v/>
      </c>
    </row>
    <row r="37" ht="15.0" customHeight="1">
      <c r="A37" s="18" t="str">
        <f t="shared" si="1"/>
        <v/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21" t="str">
        <f t="array" ref="Q37">IF($D37="","",IFERROR(INDEX(CATALOGOS!$B$6:$B$14,MATCH($D37,CATALOGOS!$A$6:$A$14,0)),0))</f>
        <v/>
      </c>
      <c r="R37" s="21">
        <f t="array" ref="R37">IF($E37="",0,IFERROR(INDEX(CATALOGOS!$B$19:$B$30,MATCH($E37,CATALOGOS!$A$19:$A$30,0)),0))</f>
        <v>0</v>
      </c>
      <c r="S37" s="21">
        <f t="array" ref="S37">IF($K37="",0,IFERROR(INDEX(CATALOGOS!$B$35:$B$42,MATCH($K37,CATALOGOS!$A$35:$A$42,0)),0))</f>
        <v>0</v>
      </c>
      <c r="T37" s="21">
        <f t="array" ref="T37">IF($J37="",0,IFERROR(INDEX(CATALOGOS!$B$47:$B$51,MATCH($J37,CATALOGOS!$A$47:$A$51,0)),0))</f>
        <v>0</v>
      </c>
      <c r="U37" s="21">
        <f t="array" ref="U37">IF($M37="",0,IFERROR(INDEX(CATALOGOS!$B$56:$B$62,MATCH($M37,CATALOGOS!$A$56:$A$62,0)),0))</f>
        <v>0</v>
      </c>
      <c r="V37" s="21" t="str">
        <f t="shared" si="2"/>
        <v/>
      </c>
      <c r="W37" s="21">
        <f t="array" ref="W37">IF($D37="",0,IFERROR(INDEX(CATALOGOS!$C$6:$C$14,MATCH($D37,CATALOGOS!$A$6:$A$14,0)),0))</f>
        <v>0</v>
      </c>
      <c r="X37" s="21">
        <f t="array" ref="X37">IF($D37="",0,IFERROR(INDEX(CATALOGOS!$D$6:$D$14,MATCH($D37,CATALOGOS!$A$6:$A$14,0)),0))</f>
        <v>0</v>
      </c>
      <c r="Y37" s="21">
        <f t="array" ref="Y37">IF($D37="",0,IFERROR(INDEX(CATALOGOS!$E$6:$E$14,MATCH($D37,CATALOGOS!$A$6:$A$14,0)),0))</f>
        <v>0</v>
      </c>
      <c r="Z37" s="26" t="str">
        <f t="shared" si="3"/>
        <v/>
      </c>
    </row>
    <row r="38" ht="15.0" customHeight="1">
      <c r="A38" s="18" t="str">
        <f t="shared" si="1"/>
        <v/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1" t="str">
        <f t="array" ref="Q38">IF($D38="","",IFERROR(INDEX(CATALOGOS!$B$6:$B$14,MATCH($D38,CATALOGOS!$A$6:$A$14,0)),0))</f>
        <v/>
      </c>
      <c r="R38" s="21">
        <f t="array" ref="R38">IF($E38="",0,IFERROR(INDEX(CATALOGOS!$B$19:$B$30,MATCH($E38,CATALOGOS!$A$19:$A$30,0)),0))</f>
        <v>0</v>
      </c>
      <c r="S38" s="21">
        <f t="array" ref="S38">IF($K38="",0,IFERROR(INDEX(CATALOGOS!$B$35:$B$42,MATCH($K38,CATALOGOS!$A$35:$A$42,0)),0))</f>
        <v>0</v>
      </c>
      <c r="T38" s="21">
        <f t="array" ref="T38">IF($J38="",0,IFERROR(INDEX(CATALOGOS!$B$47:$B$51,MATCH($J38,CATALOGOS!$A$47:$A$51,0)),0))</f>
        <v>0</v>
      </c>
      <c r="U38" s="21">
        <f t="array" ref="U38">IF($M38="",0,IFERROR(INDEX(CATALOGOS!$B$56:$B$62,MATCH($M38,CATALOGOS!$A$56:$A$62,0)),0))</f>
        <v>0</v>
      </c>
      <c r="V38" s="21" t="str">
        <f t="shared" si="2"/>
        <v/>
      </c>
      <c r="W38" s="21">
        <f t="array" ref="W38">IF($D38="",0,IFERROR(INDEX(CATALOGOS!$C$6:$C$14,MATCH($D38,CATALOGOS!$A$6:$A$14,0)),0))</f>
        <v>0</v>
      </c>
      <c r="X38" s="21">
        <f t="array" ref="X38">IF($D38="",0,IFERROR(INDEX(CATALOGOS!$D$6:$D$14,MATCH($D38,CATALOGOS!$A$6:$A$14,0)),0))</f>
        <v>0</v>
      </c>
      <c r="Y38" s="21">
        <f t="array" ref="Y38">IF($D38="",0,IFERROR(INDEX(CATALOGOS!$E$6:$E$14,MATCH($D38,CATALOGOS!$A$6:$A$14,0)),0))</f>
        <v>0</v>
      </c>
      <c r="Z38" s="26" t="str">
        <f t="shared" si="3"/>
        <v/>
      </c>
    </row>
    <row r="39" ht="15.0" customHeight="1">
      <c r="A39" s="18" t="str">
        <f t="shared" si="1"/>
        <v/>
      </c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1" t="str">
        <f t="array" ref="Q39">IF($D39="","",IFERROR(INDEX(CATALOGOS!$B$6:$B$14,MATCH($D39,CATALOGOS!$A$6:$A$14,0)),0))</f>
        <v/>
      </c>
      <c r="R39" s="21">
        <f t="array" ref="R39">IF($E39="",0,IFERROR(INDEX(CATALOGOS!$B$19:$B$30,MATCH($E39,CATALOGOS!$A$19:$A$30,0)),0))</f>
        <v>0</v>
      </c>
      <c r="S39" s="21">
        <f t="array" ref="S39">IF($K39="",0,IFERROR(INDEX(CATALOGOS!$B$35:$B$42,MATCH($K39,CATALOGOS!$A$35:$A$42,0)),0))</f>
        <v>0</v>
      </c>
      <c r="T39" s="21">
        <f t="array" ref="T39">IF($J39="",0,IFERROR(INDEX(CATALOGOS!$B$47:$B$51,MATCH($J39,CATALOGOS!$A$47:$A$51,0)),0))</f>
        <v>0</v>
      </c>
      <c r="U39" s="21">
        <f t="array" ref="U39">IF($M39="",0,IFERROR(INDEX(CATALOGOS!$B$56:$B$62,MATCH($M39,CATALOGOS!$A$56:$A$62,0)),0))</f>
        <v>0</v>
      </c>
      <c r="V39" s="21" t="str">
        <f t="shared" si="2"/>
        <v/>
      </c>
      <c r="W39" s="21">
        <f t="array" ref="W39">IF($D39="",0,IFERROR(INDEX(CATALOGOS!$C$6:$C$14,MATCH($D39,CATALOGOS!$A$6:$A$14,0)),0))</f>
        <v>0</v>
      </c>
      <c r="X39" s="21">
        <f t="array" ref="X39">IF($D39="",0,IFERROR(INDEX(CATALOGOS!$D$6:$D$14,MATCH($D39,CATALOGOS!$A$6:$A$14,0)),0))</f>
        <v>0</v>
      </c>
      <c r="Y39" s="21">
        <f t="array" ref="Y39">IF($D39="",0,IFERROR(INDEX(CATALOGOS!$E$6:$E$14,MATCH($D39,CATALOGOS!$A$6:$A$14,0)),0))</f>
        <v>0</v>
      </c>
      <c r="Z39" s="26" t="str">
        <f t="shared" si="3"/>
        <v/>
      </c>
    </row>
    <row r="40" ht="15.0" customHeight="1">
      <c r="A40" s="18" t="str">
        <f t="shared" si="1"/>
        <v/>
      </c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1" t="str">
        <f t="array" ref="Q40">IF($D40="","",IFERROR(INDEX(CATALOGOS!$B$6:$B$14,MATCH($D40,CATALOGOS!$A$6:$A$14,0)),0))</f>
        <v/>
      </c>
      <c r="R40" s="21">
        <f t="array" ref="R40">IF($E40="",0,IFERROR(INDEX(CATALOGOS!$B$19:$B$30,MATCH($E40,CATALOGOS!$A$19:$A$30,0)),0))</f>
        <v>0</v>
      </c>
      <c r="S40" s="21">
        <f t="array" ref="S40">IF($K40="",0,IFERROR(INDEX(CATALOGOS!$B$35:$B$42,MATCH($K40,CATALOGOS!$A$35:$A$42,0)),0))</f>
        <v>0</v>
      </c>
      <c r="T40" s="21">
        <f t="array" ref="T40">IF($J40="",0,IFERROR(INDEX(CATALOGOS!$B$47:$B$51,MATCH($J40,CATALOGOS!$A$47:$A$51,0)),0))</f>
        <v>0</v>
      </c>
      <c r="U40" s="21">
        <f t="array" ref="U40">IF($M40="",0,IFERROR(INDEX(CATALOGOS!$B$56:$B$62,MATCH($M40,CATALOGOS!$A$56:$A$62,0)),0))</f>
        <v>0</v>
      </c>
      <c r="V40" s="21" t="str">
        <f t="shared" si="2"/>
        <v/>
      </c>
      <c r="W40" s="21">
        <f t="array" ref="W40">IF($D40="",0,IFERROR(INDEX(CATALOGOS!$C$6:$C$14,MATCH($D40,CATALOGOS!$A$6:$A$14,0)),0))</f>
        <v>0</v>
      </c>
      <c r="X40" s="21">
        <f t="array" ref="X40">IF($D40="",0,IFERROR(INDEX(CATALOGOS!$D$6:$D$14,MATCH($D40,CATALOGOS!$A$6:$A$14,0)),0))</f>
        <v>0</v>
      </c>
      <c r="Y40" s="21">
        <f t="array" ref="Y40">IF($D40="",0,IFERROR(INDEX(CATALOGOS!$E$6:$E$14,MATCH($D40,CATALOGOS!$A$6:$A$14,0)),0))</f>
        <v>0</v>
      </c>
      <c r="Z40" s="26" t="str">
        <f t="shared" si="3"/>
        <v/>
      </c>
    </row>
    <row r="41" ht="15.0" customHeight="1">
      <c r="A41" s="18" t="str">
        <f t="shared" si="1"/>
        <v/>
      </c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21" t="str">
        <f t="array" ref="Q41">IF($D41="","",IFERROR(INDEX(CATALOGOS!$B$6:$B$14,MATCH($D41,CATALOGOS!$A$6:$A$14,0)),0))</f>
        <v/>
      </c>
      <c r="R41" s="21">
        <f t="array" ref="R41">IF($E41="",0,IFERROR(INDEX(CATALOGOS!$B$19:$B$30,MATCH($E41,CATALOGOS!$A$19:$A$30,0)),0))</f>
        <v>0</v>
      </c>
      <c r="S41" s="21">
        <f t="array" ref="S41">IF($K41="",0,IFERROR(INDEX(CATALOGOS!$B$35:$B$42,MATCH($K41,CATALOGOS!$A$35:$A$42,0)),0))</f>
        <v>0</v>
      </c>
      <c r="T41" s="21">
        <f t="array" ref="T41">IF($J41="",0,IFERROR(INDEX(CATALOGOS!$B$47:$B$51,MATCH($J41,CATALOGOS!$A$47:$A$51,0)),0))</f>
        <v>0</v>
      </c>
      <c r="U41" s="21">
        <f t="array" ref="U41">IF($M41="",0,IFERROR(INDEX(CATALOGOS!$B$56:$B$62,MATCH($M41,CATALOGOS!$A$56:$A$62,0)),0))</f>
        <v>0</v>
      </c>
      <c r="V41" s="21" t="str">
        <f t="shared" si="2"/>
        <v/>
      </c>
      <c r="W41" s="21">
        <f t="array" ref="W41">IF($D41="",0,IFERROR(INDEX(CATALOGOS!$C$6:$C$14,MATCH($D41,CATALOGOS!$A$6:$A$14,0)),0))</f>
        <v>0</v>
      </c>
      <c r="X41" s="21">
        <f t="array" ref="X41">IF($D41="",0,IFERROR(INDEX(CATALOGOS!$D$6:$D$14,MATCH($D41,CATALOGOS!$A$6:$A$14,0)),0))</f>
        <v>0</v>
      </c>
      <c r="Y41" s="21">
        <f t="array" ref="Y41">IF($D41="",0,IFERROR(INDEX(CATALOGOS!$E$6:$E$14,MATCH($D41,CATALOGOS!$A$6:$A$14,0)),0))</f>
        <v>0</v>
      </c>
      <c r="Z41" s="26" t="str">
        <f t="shared" si="3"/>
        <v/>
      </c>
    </row>
    <row r="42" ht="15.0" customHeight="1">
      <c r="A42" s="18" t="str">
        <f t="shared" si="1"/>
        <v/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21" t="str">
        <f t="array" ref="Q42">IF($D42="","",IFERROR(INDEX(CATALOGOS!$B$6:$B$14,MATCH($D42,CATALOGOS!$A$6:$A$14,0)),0))</f>
        <v/>
      </c>
      <c r="R42" s="21">
        <f t="array" ref="R42">IF($E42="",0,IFERROR(INDEX(CATALOGOS!$B$19:$B$30,MATCH($E42,CATALOGOS!$A$19:$A$30,0)),0))</f>
        <v>0</v>
      </c>
      <c r="S42" s="21">
        <f t="array" ref="S42">IF($K42="",0,IFERROR(INDEX(CATALOGOS!$B$35:$B$42,MATCH($K42,CATALOGOS!$A$35:$A$42,0)),0))</f>
        <v>0</v>
      </c>
      <c r="T42" s="21">
        <f t="array" ref="T42">IF($J42="",0,IFERROR(INDEX(CATALOGOS!$B$47:$B$51,MATCH($J42,CATALOGOS!$A$47:$A$51,0)),0))</f>
        <v>0</v>
      </c>
      <c r="U42" s="21">
        <f t="array" ref="U42">IF($M42="",0,IFERROR(INDEX(CATALOGOS!$B$56:$B$62,MATCH($M42,CATALOGOS!$A$56:$A$62,0)),0))</f>
        <v>0</v>
      </c>
      <c r="V42" s="21" t="str">
        <f t="shared" si="2"/>
        <v/>
      </c>
      <c r="W42" s="21">
        <f t="array" ref="W42">IF($D42="",0,IFERROR(INDEX(CATALOGOS!$C$6:$C$14,MATCH($D42,CATALOGOS!$A$6:$A$14,0)),0))</f>
        <v>0</v>
      </c>
      <c r="X42" s="21">
        <f t="array" ref="X42">IF($D42="",0,IFERROR(INDEX(CATALOGOS!$D$6:$D$14,MATCH($D42,CATALOGOS!$A$6:$A$14,0)),0))</f>
        <v>0</v>
      </c>
      <c r="Y42" s="21">
        <f t="array" ref="Y42">IF($D42="",0,IFERROR(INDEX(CATALOGOS!$E$6:$E$14,MATCH($D42,CATALOGOS!$A$6:$A$14,0)),0))</f>
        <v>0</v>
      </c>
      <c r="Z42" s="26" t="str">
        <f t="shared" si="3"/>
        <v/>
      </c>
    </row>
    <row r="43" ht="15.0" customHeight="1">
      <c r="A43" s="18" t="str">
        <f t="shared" si="1"/>
        <v/>
      </c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21" t="str">
        <f t="array" ref="Q43">IF($D43="","",IFERROR(INDEX(CATALOGOS!$B$6:$B$14,MATCH($D43,CATALOGOS!$A$6:$A$14,0)),0))</f>
        <v/>
      </c>
      <c r="R43" s="21">
        <f t="array" ref="R43">IF($E43="",0,IFERROR(INDEX(CATALOGOS!$B$19:$B$30,MATCH($E43,CATALOGOS!$A$19:$A$30,0)),0))</f>
        <v>0</v>
      </c>
      <c r="S43" s="21">
        <f t="array" ref="S43">IF($K43="",0,IFERROR(INDEX(CATALOGOS!$B$35:$B$42,MATCH($K43,CATALOGOS!$A$35:$A$42,0)),0))</f>
        <v>0</v>
      </c>
      <c r="T43" s="21">
        <f t="array" ref="T43">IF($J43="",0,IFERROR(INDEX(CATALOGOS!$B$47:$B$51,MATCH($J43,CATALOGOS!$A$47:$A$51,0)),0))</f>
        <v>0</v>
      </c>
      <c r="U43" s="21">
        <f t="array" ref="U43">IF($M43="",0,IFERROR(INDEX(CATALOGOS!$B$56:$B$62,MATCH($M43,CATALOGOS!$A$56:$A$62,0)),0))</f>
        <v>0</v>
      </c>
      <c r="V43" s="21" t="str">
        <f t="shared" si="2"/>
        <v/>
      </c>
      <c r="W43" s="21">
        <f t="array" ref="W43">IF($D43="",0,IFERROR(INDEX(CATALOGOS!$C$6:$C$14,MATCH($D43,CATALOGOS!$A$6:$A$14,0)),0))</f>
        <v>0</v>
      </c>
      <c r="X43" s="21">
        <f t="array" ref="X43">IF($D43="",0,IFERROR(INDEX(CATALOGOS!$D$6:$D$14,MATCH($D43,CATALOGOS!$A$6:$A$14,0)),0))</f>
        <v>0</v>
      </c>
      <c r="Y43" s="21">
        <f t="array" ref="Y43">IF($D43="",0,IFERROR(INDEX(CATALOGOS!$E$6:$E$14,MATCH($D43,CATALOGOS!$A$6:$A$14,0)),0))</f>
        <v>0</v>
      </c>
      <c r="Z43" s="26" t="str">
        <f t="shared" si="3"/>
        <v/>
      </c>
    </row>
    <row r="44" ht="15.0" customHeight="1">
      <c r="A44" s="18" t="str">
        <f t="shared" si="1"/>
        <v/>
      </c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21" t="str">
        <f t="array" ref="Q44">IF($D44="","",IFERROR(INDEX(CATALOGOS!$B$6:$B$14,MATCH($D44,CATALOGOS!$A$6:$A$14,0)),0))</f>
        <v/>
      </c>
      <c r="R44" s="21">
        <f t="array" ref="R44">IF($E44="",0,IFERROR(INDEX(CATALOGOS!$B$19:$B$30,MATCH($E44,CATALOGOS!$A$19:$A$30,0)),0))</f>
        <v>0</v>
      </c>
      <c r="S44" s="21">
        <f t="array" ref="S44">IF($K44="",0,IFERROR(INDEX(CATALOGOS!$B$35:$B$42,MATCH($K44,CATALOGOS!$A$35:$A$42,0)),0))</f>
        <v>0</v>
      </c>
      <c r="T44" s="21">
        <f t="array" ref="T44">IF($J44="",0,IFERROR(INDEX(CATALOGOS!$B$47:$B$51,MATCH($J44,CATALOGOS!$A$47:$A$51,0)),0))</f>
        <v>0</v>
      </c>
      <c r="U44" s="21">
        <f t="array" ref="U44">IF($M44="",0,IFERROR(INDEX(CATALOGOS!$B$56:$B$62,MATCH($M44,CATALOGOS!$A$56:$A$62,0)),0))</f>
        <v>0</v>
      </c>
      <c r="V44" s="21" t="str">
        <f t="shared" si="2"/>
        <v/>
      </c>
      <c r="W44" s="21">
        <f t="array" ref="W44">IF($D44="",0,IFERROR(INDEX(CATALOGOS!$C$6:$C$14,MATCH($D44,CATALOGOS!$A$6:$A$14,0)),0))</f>
        <v>0</v>
      </c>
      <c r="X44" s="21">
        <f t="array" ref="X44">IF($D44="",0,IFERROR(INDEX(CATALOGOS!$D$6:$D$14,MATCH($D44,CATALOGOS!$A$6:$A$14,0)),0))</f>
        <v>0</v>
      </c>
      <c r="Y44" s="21">
        <f t="array" ref="Y44">IF($D44="",0,IFERROR(INDEX(CATALOGOS!$E$6:$E$14,MATCH($D44,CATALOGOS!$A$6:$A$14,0)),0))</f>
        <v>0</v>
      </c>
      <c r="Z44" s="26" t="str">
        <f t="shared" si="3"/>
        <v/>
      </c>
    </row>
    <row r="45" ht="15.0" customHeight="1">
      <c r="A45" s="18" t="str">
        <f t="shared" si="1"/>
        <v/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21" t="str">
        <f t="array" ref="Q45">IF($D45="","",IFERROR(INDEX(CATALOGOS!$B$6:$B$14,MATCH($D45,CATALOGOS!$A$6:$A$14,0)),0))</f>
        <v/>
      </c>
      <c r="R45" s="21">
        <f t="array" ref="R45">IF($E45="",0,IFERROR(INDEX(CATALOGOS!$B$19:$B$30,MATCH($E45,CATALOGOS!$A$19:$A$30,0)),0))</f>
        <v>0</v>
      </c>
      <c r="S45" s="21">
        <f t="array" ref="S45">IF($K45="",0,IFERROR(INDEX(CATALOGOS!$B$35:$B$42,MATCH($K45,CATALOGOS!$A$35:$A$42,0)),0))</f>
        <v>0</v>
      </c>
      <c r="T45" s="21">
        <f t="array" ref="T45">IF($J45="",0,IFERROR(INDEX(CATALOGOS!$B$47:$B$51,MATCH($J45,CATALOGOS!$A$47:$A$51,0)),0))</f>
        <v>0</v>
      </c>
      <c r="U45" s="21">
        <f t="array" ref="U45">IF($M45="",0,IFERROR(INDEX(CATALOGOS!$B$56:$B$62,MATCH($M45,CATALOGOS!$A$56:$A$62,0)),0))</f>
        <v>0</v>
      </c>
      <c r="V45" s="21" t="str">
        <f t="shared" si="2"/>
        <v/>
      </c>
      <c r="W45" s="21">
        <f t="array" ref="W45">IF($D45="",0,IFERROR(INDEX(CATALOGOS!$C$6:$C$14,MATCH($D45,CATALOGOS!$A$6:$A$14,0)),0))</f>
        <v>0</v>
      </c>
      <c r="X45" s="21">
        <f t="array" ref="X45">IF($D45="",0,IFERROR(INDEX(CATALOGOS!$D$6:$D$14,MATCH($D45,CATALOGOS!$A$6:$A$14,0)),0))</f>
        <v>0</v>
      </c>
      <c r="Y45" s="21">
        <f t="array" ref="Y45">IF($D45="",0,IFERROR(INDEX(CATALOGOS!$E$6:$E$14,MATCH($D45,CATALOGOS!$A$6:$A$14,0)),0))</f>
        <v>0</v>
      </c>
      <c r="Z45" s="26" t="str">
        <f t="shared" si="3"/>
        <v/>
      </c>
    </row>
    <row r="46" ht="15.0" customHeight="1">
      <c r="A46" s="18" t="str">
        <f t="shared" si="1"/>
        <v/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21" t="str">
        <f t="array" ref="Q46">IF($D46="","",IFERROR(INDEX(CATALOGOS!$B$6:$B$14,MATCH($D46,CATALOGOS!$A$6:$A$14,0)),0))</f>
        <v/>
      </c>
      <c r="R46" s="21">
        <f t="array" ref="R46">IF($E46="",0,IFERROR(INDEX(CATALOGOS!$B$19:$B$30,MATCH($E46,CATALOGOS!$A$19:$A$30,0)),0))</f>
        <v>0</v>
      </c>
      <c r="S46" s="21">
        <f t="array" ref="S46">IF($K46="",0,IFERROR(INDEX(CATALOGOS!$B$35:$B$42,MATCH($K46,CATALOGOS!$A$35:$A$42,0)),0))</f>
        <v>0</v>
      </c>
      <c r="T46" s="21">
        <f t="array" ref="T46">IF($J46="",0,IFERROR(INDEX(CATALOGOS!$B$47:$B$51,MATCH($J46,CATALOGOS!$A$47:$A$51,0)),0))</f>
        <v>0</v>
      </c>
      <c r="U46" s="21">
        <f t="array" ref="U46">IF($M46="",0,IFERROR(INDEX(CATALOGOS!$B$56:$B$62,MATCH($M46,CATALOGOS!$A$56:$A$62,0)),0))</f>
        <v>0</v>
      </c>
      <c r="V46" s="21" t="str">
        <f t="shared" si="2"/>
        <v/>
      </c>
      <c r="W46" s="21">
        <f t="array" ref="W46">IF($D46="",0,IFERROR(INDEX(CATALOGOS!$C$6:$C$14,MATCH($D46,CATALOGOS!$A$6:$A$14,0)),0))</f>
        <v>0</v>
      </c>
      <c r="X46" s="21">
        <f t="array" ref="X46">IF($D46="",0,IFERROR(INDEX(CATALOGOS!$D$6:$D$14,MATCH($D46,CATALOGOS!$A$6:$A$14,0)),0))</f>
        <v>0</v>
      </c>
      <c r="Y46" s="21">
        <f t="array" ref="Y46">IF($D46="",0,IFERROR(INDEX(CATALOGOS!$E$6:$E$14,MATCH($D46,CATALOGOS!$A$6:$A$14,0)),0))</f>
        <v>0</v>
      </c>
      <c r="Z46" s="26" t="str">
        <f t="shared" si="3"/>
        <v/>
      </c>
    </row>
    <row r="47" ht="15.0" customHeight="1">
      <c r="A47" s="18" t="str">
        <f t="shared" si="1"/>
        <v/>
      </c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21" t="str">
        <f t="array" ref="Q47">IF($D47="","",IFERROR(INDEX(CATALOGOS!$B$6:$B$14,MATCH($D47,CATALOGOS!$A$6:$A$14,0)),0))</f>
        <v/>
      </c>
      <c r="R47" s="21">
        <f t="array" ref="R47">IF($E47="",0,IFERROR(INDEX(CATALOGOS!$B$19:$B$30,MATCH($E47,CATALOGOS!$A$19:$A$30,0)),0))</f>
        <v>0</v>
      </c>
      <c r="S47" s="21">
        <f t="array" ref="S47">IF($K47="",0,IFERROR(INDEX(CATALOGOS!$B$35:$B$42,MATCH($K47,CATALOGOS!$A$35:$A$42,0)),0))</f>
        <v>0</v>
      </c>
      <c r="T47" s="21">
        <f t="array" ref="T47">IF($J47="",0,IFERROR(INDEX(CATALOGOS!$B$47:$B$51,MATCH($J47,CATALOGOS!$A$47:$A$51,0)),0))</f>
        <v>0</v>
      </c>
      <c r="U47" s="21">
        <f t="array" ref="U47">IF($M47="",0,IFERROR(INDEX(CATALOGOS!$B$56:$B$62,MATCH($M47,CATALOGOS!$A$56:$A$62,0)),0))</f>
        <v>0</v>
      </c>
      <c r="V47" s="21" t="str">
        <f t="shared" si="2"/>
        <v/>
      </c>
      <c r="W47" s="21">
        <f t="array" ref="W47">IF($D47="",0,IFERROR(INDEX(CATALOGOS!$C$6:$C$14,MATCH($D47,CATALOGOS!$A$6:$A$14,0)),0))</f>
        <v>0</v>
      </c>
      <c r="X47" s="21">
        <f t="array" ref="X47">IF($D47="",0,IFERROR(INDEX(CATALOGOS!$D$6:$D$14,MATCH($D47,CATALOGOS!$A$6:$A$14,0)),0))</f>
        <v>0</v>
      </c>
      <c r="Y47" s="21">
        <f t="array" ref="Y47">IF($D47="",0,IFERROR(INDEX(CATALOGOS!$E$6:$E$14,MATCH($D47,CATALOGOS!$A$6:$A$14,0)),0))</f>
        <v>0</v>
      </c>
      <c r="Z47" s="26" t="str">
        <f t="shared" si="3"/>
        <v/>
      </c>
    </row>
    <row r="48" ht="15.0" customHeight="1">
      <c r="A48" s="18" t="str">
        <f t="shared" si="1"/>
        <v/>
      </c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21" t="str">
        <f t="array" ref="Q48">IF($D48="","",IFERROR(INDEX(CATALOGOS!$B$6:$B$14,MATCH($D48,CATALOGOS!$A$6:$A$14,0)),0))</f>
        <v/>
      </c>
      <c r="R48" s="21">
        <f t="array" ref="R48">IF($E48="",0,IFERROR(INDEX(CATALOGOS!$B$19:$B$30,MATCH($E48,CATALOGOS!$A$19:$A$30,0)),0))</f>
        <v>0</v>
      </c>
      <c r="S48" s="21">
        <f t="array" ref="S48">IF($K48="",0,IFERROR(INDEX(CATALOGOS!$B$35:$B$42,MATCH($K48,CATALOGOS!$A$35:$A$42,0)),0))</f>
        <v>0</v>
      </c>
      <c r="T48" s="21">
        <f t="array" ref="T48">IF($J48="",0,IFERROR(INDEX(CATALOGOS!$B$47:$B$51,MATCH($J48,CATALOGOS!$A$47:$A$51,0)),0))</f>
        <v>0</v>
      </c>
      <c r="U48" s="21">
        <f t="array" ref="U48">IF($M48="",0,IFERROR(INDEX(CATALOGOS!$B$56:$B$62,MATCH($M48,CATALOGOS!$A$56:$A$62,0)),0))</f>
        <v>0</v>
      </c>
      <c r="V48" s="21" t="str">
        <f t="shared" si="2"/>
        <v/>
      </c>
      <c r="W48" s="21">
        <f t="array" ref="W48">IF($D48="",0,IFERROR(INDEX(CATALOGOS!$C$6:$C$14,MATCH($D48,CATALOGOS!$A$6:$A$14,0)),0))</f>
        <v>0</v>
      </c>
      <c r="X48" s="21">
        <f t="array" ref="X48">IF($D48="",0,IFERROR(INDEX(CATALOGOS!$D$6:$D$14,MATCH($D48,CATALOGOS!$A$6:$A$14,0)),0))</f>
        <v>0</v>
      </c>
      <c r="Y48" s="21">
        <f t="array" ref="Y48">IF($D48="",0,IFERROR(INDEX(CATALOGOS!$E$6:$E$14,MATCH($D48,CATALOGOS!$A$6:$A$14,0)),0))</f>
        <v>0</v>
      </c>
      <c r="Z48" s="26" t="str">
        <f t="shared" si="3"/>
        <v/>
      </c>
    </row>
    <row r="49" ht="15.0" customHeight="1">
      <c r="A49" s="18" t="str">
        <f t="shared" si="1"/>
        <v/>
      </c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21" t="str">
        <f t="array" ref="Q49">IF($D49="","",IFERROR(INDEX(CATALOGOS!$B$6:$B$14,MATCH($D49,CATALOGOS!$A$6:$A$14,0)),0))</f>
        <v/>
      </c>
      <c r="R49" s="21">
        <f t="array" ref="R49">IF($E49="",0,IFERROR(INDEX(CATALOGOS!$B$19:$B$30,MATCH($E49,CATALOGOS!$A$19:$A$30,0)),0))</f>
        <v>0</v>
      </c>
      <c r="S49" s="21">
        <f t="array" ref="S49">IF($K49="",0,IFERROR(INDEX(CATALOGOS!$B$35:$B$42,MATCH($K49,CATALOGOS!$A$35:$A$42,0)),0))</f>
        <v>0</v>
      </c>
      <c r="T49" s="21">
        <f t="array" ref="T49">IF($J49="",0,IFERROR(INDEX(CATALOGOS!$B$47:$B$51,MATCH($J49,CATALOGOS!$A$47:$A$51,0)),0))</f>
        <v>0</v>
      </c>
      <c r="U49" s="21">
        <f t="array" ref="U49">IF($M49="",0,IFERROR(INDEX(CATALOGOS!$B$56:$B$62,MATCH($M49,CATALOGOS!$A$56:$A$62,0)),0))</f>
        <v>0</v>
      </c>
      <c r="V49" s="21" t="str">
        <f t="shared" si="2"/>
        <v/>
      </c>
      <c r="W49" s="21">
        <f t="array" ref="W49">IF($D49="",0,IFERROR(INDEX(CATALOGOS!$C$6:$C$14,MATCH($D49,CATALOGOS!$A$6:$A$14,0)),0))</f>
        <v>0</v>
      </c>
      <c r="X49" s="21">
        <f t="array" ref="X49">IF($D49="",0,IFERROR(INDEX(CATALOGOS!$D$6:$D$14,MATCH($D49,CATALOGOS!$A$6:$A$14,0)),0))</f>
        <v>0</v>
      </c>
      <c r="Y49" s="21">
        <f t="array" ref="Y49">IF($D49="",0,IFERROR(INDEX(CATALOGOS!$E$6:$E$14,MATCH($D49,CATALOGOS!$A$6:$A$14,0)),0))</f>
        <v>0</v>
      </c>
      <c r="Z49" s="26" t="str">
        <f t="shared" si="3"/>
        <v/>
      </c>
    </row>
    <row r="50" ht="15.0" customHeight="1">
      <c r="A50" s="18" t="str">
        <f t="shared" si="1"/>
        <v/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21" t="str">
        <f t="array" ref="Q50">IF($D50="","",IFERROR(INDEX(CATALOGOS!$B$6:$B$14,MATCH($D50,CATALOGOS!$A$6:$A$14,0)),0))</f>
        <v/>
      </c>
      <c r="R50" s="21">
        <f t="array" ref="R50">IF($E50="",0,IFERROR(INDEX(CATALOGOS!$B$19:$B$30,MATCH($E50,CATALOGOS!$A$19:$A$30,0)),0))</f>
        <v>0</v>
      </c>
      <c r="S50" s="21">
        <f t="array" ref="S50">IF($K50="",0,IFERROR(INDEX(CATALOGOS!$B$35:$B$42,MATCH($K50,CATALOGOS!$A$35:$A$42,0)),0))</f>
        <v>0</v>
      </c>
      <c r="T50" s="21">
        <f t="array" ref="T50">IF($J50="",0,IFERROR(INDEX(CATALOGOS!$B$47:$B$51,MATCH($J50,CATALOGOS!$A$47:$A$51,0)),0))</f>
        <v>0</v>
      </c>
      <c r="U50" s="21">
        <f t="array" ref="U50">IF($M50="",0,IFERROR(INDEX(CATALOGOS!$B$56:$B$62,MATCH($M50,CATALOGOS!$A$56:$A$62,0)),0))</f>
        <v>0</v>
      </c>
      <c r="V50" s="21" t="str">
        <f t="shared" si="2"/>
        <v/>
      </c>
      <c r="W50" s="21">
        <f t="array" ref="W50">IF($D50="",0,IFERROR(INDEX(CATALOGOS!$C$6:$C$14,MATCH($D50,CATALOGOS!$A$6:$A$14,0)),0))</f>
        <v>0</v>
      </c>
      <c r="X50" s="21">
        <f t="array" ref="X50">IF($D50="",0,IFERROR(INDEX(CATALOGOS!$D$6:$D$14,MATCH($D50,CATALOGOS!$A$6:$A$14,0)),0))</f>
        <v>0</v>
      </c>
      <c r="Y50" s="21">
        <f t="array" ref="Y50">IF($D50="",0,IFERROR(INDEX(CATALOGOS!$E$6:$E$14,MATCH($D50,CATALOGOS!$A$6:$A$14,0)),0))</f>
        <v>0</v>
      </c>
      <c r="Z50" s="26" t="str">
        <f t="shared" si="3"/>
        <v/>
      </c>
    </row>
    <row r="51" ht="15.0" customHeight="1">
      <c r="A51" s="18" t="str">
        <f t="shared" si="1"/>
        <v/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21" t="str">
        <f t="array" ref="Q51">IF($D51="","",IFERROR(INDEX(CATALOGOS!$B$6:$B$14,MATCH($D51,CATALOGOS!$A$6:$A$14,0)),0))</f>
        <v/>
      </c>
      <c r="R51" s="21">
        <f t="array" ref="R51">IF($E51="",0,IFERROR(INDEX(CATALOGOS!$B$19:$B$30,MATCH($E51,CATALOGOS!$A$19:$A$30,0)),0))</f>
        <v>0</v>
      </c>
      <c r="S51" s="21">
        <f t="array" ref="S51">IF($K51="",0,IFERROR(INDEX(CATALOGOS!$B$35:$B$42,MATCH($K51,CATALOGOS!$A$35:$A$42,0)),0))</f>
        <v>0</v>
      </c>
      <c r="T51" s="21">
        <f t="array" ref="T51">IF($J51="",0,IFERROR(INDEX(CATALOGOS!$B$47:$B$51,MATCH($J51,CATALOGOS!$A$47:$A$51,0)),0))</f>
        <v>0</v>
      </c>
      <c r="U51" s="21">
        <f t="array" ref="U51">IF($M51="",0,IFERROR(INDEX(CATALOGOS!$B$56:$B$62,MATCH($M51,CATALOGOS!$A$56:$A$62,0)),0))</f>
        <v>0</v>
      </c>
      <c r="V51" s="21" t="str">
        <f t="shared" si="2"/>
        <v/>
      </c>
      <c r="W51" s="21">
        <f t="array" ref="W51">IF($D51="",0,IFERROR(INDEX(CATALOGOS!$C$6:$C$14,MATCH($D51,CATALOGOS!$A$6:$A$14,0)),0))</f>
        <v>0</v>
      </c>
      <c r="X51" s="21">
        <f t="array" ref="X51">IF($D51="",0,IFERROR(INDEX(CATALOGOS!$D$6:$D$14,MATCH($D51,CATALOGOS!$A$6:$A$14,0)),0))</f>
        <v>0</v>
      </c>
      <c r="Y51" s="21">
        <f t="array" ref="Y51">IF($D51="",0,IFERROR(INDEX(CATALOGOS!$E$6:$E$14,MATCH($D51,CATALOGOS!$A$6:$A$14,0)),0))</f>
        <v>0</v>
      </c>
      <c r="Z51" s="26" t="str">
        <f t="shared" si="3"/>
        <v/>
      </c>
    </row>
    <row r="52" ht="15.0" customHeight="1">
      <c r="A52" s="18" t="str">
        <f t="shared" si="1"/>
        <v/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21" t="str">
        <f t="array" ref="Q52">IF($D52="","",IFERROR(INDEX(CATALOGOS!$B$6:$B$14,MATCH($D52,CATALOGOS!$A$6:$A$14,0)),0))</f>
        <v/>
      </c>
      <c r="R52" s="21">
        <f t="array" ref="R52">IF($E52="",0,IFERROR(INDEX(CATALOGOS!$B$19:$B$30,MATCH($E52,CATALOGOS!$A$19:$A$30,0)),0))</f>
        <v>0</v>
      </c>
      <c r="S52" s="21">
        <f t="array" ref="S52">IF($K52="",0,IFERROR(INDEX(CATALOGOS!$B$35:$B$42,MATCH($K52,CATALOGOS!$A$35:$A$42,0)),0))</f>
        <v>0</v>
      </c>
      <c r="T52" s="21">
        <f t="array" ref="T52">IF($J52="",0,IFERROR(INDEX(CATALOGOS!$B$47:$B$51,MATCH($J52,CATALOGOS!$A$47:$A$51,0)),0))</f>
        <v>0</v>
      </c>
      <c r="U52" s="21">
        <f t="array" ref="U52">IF($M52="",0,IFERROR(INDEX(CATALOGOS!$B$56:$B$62,MATCH($M52,CATALOGOS!$A$56:$A$62,0)),0))</f>
        <v>0</v>
      </c>
      <c r="V52" s="21" t="str">
        <f t="shared" si="2"/>
        <v/>
      </c>
      <c r="W52" s="21">
        <f t="array" ref="W52">IF($D52="",0,IFERROR(INDEX(CATALOGOS!$C$6:$C$14,MATCH($D52,CATALOGOS!$A$6:$A$14,0)),0))</f>
        <v>0</v>
      </c>
      <c r="X52" s="21">
        <f t="array" ref="X52">IF($D52="",0,IFERROR(INDEX(CATALOGOS!$D$6:$D$14,MATCH($D52,CATALOGOS!$A$6:$A$14,0)),0))</f>
        <v>0</v>
      </c>
      <c r="Y52" s="21">
        <f t="array" ref="Y52">IF($D52="",0,IFERROR(INDEX(CATALOGOS!$E$6:$E$14,MATCH($D52,CATALOGOS!$A$6:$A$14,0)),0))</f>
        <v>0</v>
      </c>
      <c r="Z52" s="26" t="str">
        <f t="shared" si="3"/>
        <v/>
      </c>
    </row>
    <row r="53" ht="15.0" customHeight="1">
      <c r="A53" s="18" t="str">
        <f t="shared" si="1"/>
        <v/>
      </c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21" t="str">
        <f t="array" ref="Q53">IF($D53="","",IFERROR(INDEX(CATALOGOS!$B$6:$B$14,MATCH($D53,CATALOGOS!$A$6:$A$14,0)),0))</f>
        <v/>
      </c>
      <c r="R53" s="21">
        <f t="array" ref="R53">IF($E53="",0,IFERROR(INDEX(CATALOGOS!$B$19:$B$30,MATCH($E53,CATALOGOS!$A$19:$A$30,0)),0))</f>
        <v>0</v>
      </c>
      <c r="S53" s="21">
        <f t="array" ref="S53">IF($K53="",0,IFERROR(INDEX(CATALOGOS!$B$35:$B$42,MATCH($K53,CATALOGOS!$A$35:$A$42,0)),0))</f>
        <v>0</v>
      </c>
      <c r="T53" s="21">
        <f t="array" ref="T53">IF($J53="",0,IFERROR(INDEX(CATALOGOS!$B$47:$B$51,MATCH($J53,CATALOGOS!$A$47:$A$51,0)),0))</f>
        <v>0</v>
      </c>
      <c r="U53" s="21">
        <f t="array" ref="U53">IF($M53="",0,IFERROR(INDEX(CATALOGOS!$B$56:$B$62,MATCH($M53,CATALOGOS!$A$56:$A$62,0)),0))</f>
        <v>0</v>
      </c>
      <c r="V53" s="21" t="str">
        <f t="shared" si="2"/>
        <v/>
      </c>
      <c r="W53" s="21">
        <f t="array" ref="W53">IF($D53="",0,IFERROR(INDEX(CATALOGOS!$C$6:$C$14,MATCH($D53,CATALOGOS!$A$6:$A$14,0)),0))</f>
        <v>0</v>
      </c>
      <c r="X53" s="21">
        <f t="array" ref="X53">IF($D53="",0,IFERROR(INDEX(CATALOGOS!$D$6:$D$14,MATCH($D53,CATALOGOS!$A$6:$A$14,0)),0))</f>
        <v>0</v>
      </c>
      <c r="Y53" s="21">
        <f t="array" ref="Y53">IF($D53="",0,IFERROR(INDEX(CATALOGOS!$E$6:$E$14,MATCH($D53,CATALOGOS!$A$6:$A$14,0)),0))</f>
        <v>0</v>
      </c>
      <c r="Z53" s="26" t="str">
        <f t="shared" si="3"/>
        <v/>
      </c>
    </row>
    <row r="54" ht="15.0" customHeight="1">
      <c r="A54" s="18" t="str">
        <f t="shared" si="1"/>
        <v/>
      </c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21" t="str">
        <f t="array" ref="Q54">IF($D54="","",IFERROR(INDEX(CATALOGOS!$B$6:$B$14,MATCH($D54,CATALOGOS!$A$6:$A$14,0)),0))</f>
        <v/>
      </c>
      <c r="R54" s="21">
        <f t="array" ref="R54">IF($E54="",0,IFERROR(INDEX(CATALOGOS!$B$19:$B$30,MATCH($E54,CATALOGOS!$A$19:$A$30,0)),0))</f>
        <v>0</v>
      </c>
      <c r="S54" s="21">
        <f t="array" ref="S54">IF($K54="",0,IFERROR(INDEX(CATALOGOS!$B$35:$B$42,MATCH($K54,CATALOGOS!$A$35:$A$42,0)),0))</f>
        <v>0</v>
      </c>
      <c r="T54" s="21">
        <f t="array" ref="T54">IF($J54="",0,IFERROR(INDEX(CATALOGOS!$B$47:$B$51,MATCH($J54,CATALOGOS!$A$47:$A$51,0)),0))</f>
        <v>0</v>
      </c>
      <c r="U54" s="21">
        <f t="array" ref="U54">IF($M54="",0,IFERROR(INDEX(CATALOGOS!$B$56:$B$62,MATCH($M54,CATALOGOS!$A$56:$A$62,0)),0))</f>
        <v>0</v>
      </c>
      <c r="V54" s="21" t="str">
        <f t="shared" si="2"/>
        <v/>
      </c>
      <c r="W54" s="21">
        <f t="array" ref="W54">IF($D54="",0,IFERROR(INDEX(CATALOGOS!$C$6:$C$14,MATCH($D54,CATALOGOS!$A$6:$A$14,0)),0))</f>
        <v>0</v>
      </c>
      <c r="X54" s="21">
        <f t="array" ref="X54">IF($D54="",0,IFERROR(INDEX(CATALOGOS!$D$6:$D$14,MATCH($D54,CATALOGOS!$A$6:$A$14,0)),0))</f>
        <v>0</v>
      </c>
      <c r="Y54" s="21">
        <f t="array" ref="Y54">IF($D54="",0,IFERROR(INDEX(CATALOGOS!$E$6:$E$14,MATCH($D54,CATALOGOS!$A$6:$A$14,0)),0))</f>
        <v>0</v>
      </c>
      <c r="Z54" s="26" t="str">
        <f t="shared" si="3"/>
        <v/>
      </c>
    </row>
    <row r="55" ht="15.0" customHeight="1">
      <c r="A55" s="18" t="str">
        <f t="shared" si="1"/>
        <v/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21" t="str">
        <f t="array" ref="Q55">IF($D55="","",IFERROR(INDEX(CATALOGOS!$B$6:$B$14,MATCH($D55,CATALOGOS!$A$6:$A$14,0)),0))</f>
        <v/>
      </c>
      <c r="R55" s="21">
        <f t="array" ref="R55">IF($E55="",0,IFERROR(INDEX(CATALOGOS!$B$19:$B$30,MATCH($E55,CATALOGOS!$A$19:$A$30,0)),0))</f>
        <v>0</v>
      </c>
      <c r="S55" s="21">
        <f t="array" ref="S55">IF($K55="",0,IFERROR(INDEX(CATALOGOS!$B$35:$B$42,MATCH($K55,CATALOGOS!$A$35:$A$42,0)),0))</f>
        <v>0</v>
      </c>
      <c r="T55" s="21">
        <f t="array" ref="T55">IF($J55="",0,IFERROR(INDEX(CATALOGOS!$B$47:$B$51,MATCH($J55,CATALOGOS!$A$47:$A$51,0)),0))</f>
        <v>0</v>
      </c>
      <c r="U55" s="21">
        <f t="array" ref="U55">IF($M55="",0,IFERROR(INDEX(CATALOGOS!$B$56:$B$62,MATCH($M55,CATALOGOS!$A$56:$A$62,0)),0))</f>
        <v>0</v>
      </c>
      <c r="V55" s="21" t="str">
        <f t="shared" si="2"/>
        <v/>
      </c>
      <c r="W55" s="21">
        <f t="array" ref="W55">IF($D55="",0,IFERROR(INDEX(CATALOGOS!$C$6:$C$14,MATCH($D55,CATALOGOS!$A$6:$A$14,0)),0))</f>
        <v>0</v>
      </c>
      <c r="X55" s="21">
        <f t="array" ref="X55">IF($D55="",0,IFERROR(INDEX(CATALOGOS!$D$6:$D$14,MATCH($D55,CATALOGOS!$A$6:$A$14,0)),0))</f>
        <v>0</v>
      </c>
      <c r="Y55" s="21">
        <f t="array" ref="Y55">IF($D55="",0,IFERROR(INDEX(CATALOGOS!$E$6:$E$14,MATCH($D55,CATALOGOS!$A$6:$A$14,0)),0))</f>
        <v>0</v>
      </c>
      <c r="Z55" s="26" t="str">
        <f t="shared" si="3"/>
        <v/>
      </c>
    </row>
    <row r="56" ht="15.0" customHeight="1">
      <c r="A56" s="18" t="str">
        <f t="shared" si="1"/>
        <v/>
      </c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21" t="str">
        <f t="array" ref="Q56">IF($D56="","",IFERROR(INDEX(CATALOGOS!$B$6:$B$14,MATCH($D56,CATALOGOS!$A$6:$A$14,0)),0))</f>
        <v/>
      </c>
      <c r="R56" s="21">
        <f t="array" ref="R56">IF($E56="",0,IFERROR(INDEX(CATALOGOS!$B$19:$B$30,MATCH($E56,CATALOGOS!$A$19:$A$30,0)),0))</f>
        <v>0</v>
      </c>
      <c r="S56" s="21">
        <f t="array" ref="S56">IF($K56="",0,IFERROR(INDEX(CATALOGOS!$B$35:$B$42,MATCH($K56,CATALOGOS!$A$35:$A$42,0)),0))</f>
        <v>0</v>
      </c>
      <c r="T56" s="21">
        <f t="array" ref="T56">IF($J56="",0,IFERROR(INDEX(CATALOGOS!$B$47:$B$51,MATCH($J56,CATALOGOS!$A$47:$A$51,0)),0))</f>
        <v>0</v>
      </c>
      <c r="U56" s="21">
        <f t="array" ref="U56">IF($M56="",0,IFERROR(INDEX(CATALOGOS!$B$56:$B$62,MATCH($M56,CATALOGOS!$A$56:$A$62,0)),0))</f>
        <v>0</v>
      </c>
      <c r="V56" s="21" t="str">
        <f t="shared" si="2"/>
        <v/>
      </c>
      <c r="W56" s="21">
        <f t="array" ref="W56">IF($D56="",0,IFERROR(INDEX(CATALOGOS!$C$6:$C$14,MATCH($D56,CATALOGOS!$A$6:$A$14,0)),0))</f>
        <v>0</v>
      </c>
      <c r="X56" s="21">
        <f t="array" ref="X56">IF($D56="",0,IFERROR(INDEX(CATALOGOS!$D$6:$D$14,MATCH($D56,CATALOGOS!$A$6:$A$14,0)),0))</f>
        <v>0</v>
      </c>
      <c r="Y56" s="21">
        <f t="array" ref="Y56">IF($D56="",0,IFERROR(INDEX(CATALOGOS!$E$6:$E$14,MATCH($D56,CATALOGOS!$A$6:$A$14,0)),0))</f>
        <v>0</v>
      </c>
      <c r="Z56" s="26" t="str">
        <f t="shared" si="3"/>
        <v/>
      </c>
    </row>
    <row r="57" ht="15.0" customHeight="1">
      <c r="A57" s="18" t="str">
        <f t="shared" si="1"/>
        <v/>
      </c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21" t="str">
        <f t="array" ref="Q57">IF($D57="","",IFERROR(INDEX(CATALOGOS!$B$6:$B$14,MATCH($D57,CATALOGOS!$A$6:$A$14,0)),0))</f>
        <v/>
      </c>
      <c r="R57" s="21">
        <f t="array" ref="R57">IF($E57="",0,IFERROR(INDEX(CATALOGOS!$B$19:$B$30,MATCH($E57,CATALOGOS!$A$19:$A$30,0)),0))</f>
        <v>0</v>
      </c>
      <c r="S57" s="21">
        <f t="array" ref="S57">IF($K57="",0,IFERROR(INDEX(CATALOGOS!$B$35:$B$42,MATCH($K57,CATALOGOS!$A$35:$A$42,0)),0))</f>
        <v>0</v>
      </c>
      <c r="T57" s="21">
        <f t="array" ref="T57">IF($J57="",0,IFERROR(INDEX(CATALOGOS!$B$47:$B$51,MATCH($J57,CATALOGOS!$A$47:$A$51,0)),0))</f>
        <v>0</v>
      </c>
      <c r="U57" s="21">
        <f t="array" ref="U57">IF($M57="",0,IFERROR(INDEX(CATALOGOS!$B$56:$B$62,MATCH($M57,CATALOGOS!$A$56:$A$62,0)),0))</f>
        <v>0</v>
      </c>
      <c r="V57" s="21" t="str">
        <f t="shared" si="2"/>
        <v/>
      </c>
      <c r="W57" s="21">
        <f t="array" ref="W57">IF($D57="",0,IFERROR(INDEX(CATALOGOS!$C$6:$C$14,MATCH($D57,CATALOGOS!$A$6:$A$14,0)),0))</f>
        <v>0</v>
      </c>
      <c r="X57" s="21">
        <f t="array" ref="X57">IF($D57="",0,IFERROR(INDEX(CATALOGOS!$D$6:$D$14,MATCH($D57,CATALOGOS!$A$6:$A$14,0)),0))</f>
        <v>0</v>
      </c>
      <c r="Y57" s="21">
        <f t="array" ref="Y57">IF($D57="",0,IFERROR(INDEX(CATALOGOS!$E$6:$E$14,MATCH($D57,CATALOGOS!$A$6:$A$14,0)),0))</f>
        <v>0</v>
      </c>
      <c r="Z57" s="26" t="str">
        <f t="shared" si="3"/>
        <v/>
      </c>
    </row>
    <row r="58" ht="15.0" customHeight="1">
      <c r="A58" s="18" t="str">
        <f t="shared" si="1"/>
        <v/>
      </c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21" t="str">
        <f t="array" ref="Q58">IF($D58="","",IFERROR(INDEX(CATALOGOS!$B$6:$B$14,MATCH($D58,CATALOGOS!$A$6:$A$14,0)),0))</f>
        <v/>
      </c>
      <c r="R58" s="21">
        <f t="array" ref="R58">IF($E58="",0,IFERROR(INDEX(CATALOGOS!$B$19:$B$30,MATCH($E58,CATALOGOS!$A$19:$A$30,0)),0))</f>
        <v>0</v>
      </c>
      <c r="S58" s="21">
        <f t="array" ref="S58">IF($K58="",0,IFERROR(INDEX(CATALOGOS!$B$35:$B$42,MATCH($K58,CATALOGOS!$A$35:$A$42,0)),0))</f>
        <v>0</v>
      </c>
      <c r="T58" s="21">
        <f t="array" ref="T58">IF($J58="",0,IFERROR(INDEX(CATALOGOS!$B$47:$B$51,MATCH($J58,CATALOGOS!$A$47:$A$51,0)),0))</f>
        <v>0</v>
      </c>
      <c r="U58" s="21">
        <f t="array" ref="U58">IF($M58="",0,IFERROR(INDEX(CATALOGOS!$B$56:$B$62,MATCH($M58,CATALOGOS!$A$56:$A$62,0)),0))</f>
        <v>0</v>
      </c>
      <c r="V58" s="21" t="str">
        <f t="shared" si="2"/>
        <v/>
      </c>
      <c r="W58" s="21">
        <f t="array" ref="W58">IF($D58="",0,IFERROR(INDEX(CATALOGOS!$C$6:$C$14,MATCH($D58,CATALOGOS!$A$6:$A$14,0)),0))</f>
        <v>0</v>
      </c>
      <c r="X58" s="21">
        <f t="array" ref="X58">IF($D58="",0,IFERROR(INDEX(CATALOGOS!$D$6:$D$14,MATCH($D58,CATALOGOS!$A$6:$A$14,0)),0))</f>
        <v>0</v>
      </c>
      <c r="Y58" s="21">
        <f t="array" ref="Y58">IF($D58="",0,IFERROR(INDEX(CATALOGOS!$E$6:$E$14,MATCH($D58,CATALOGOS!$A$6:$A$14,0)),0))</f>
        <v>0</v>
      </c>
      <c r="Z58" s="26" t="str">
        <f t="shared" si="3"/>
        <v/>
      </c>
    </row>
    <row r="59" ht="15.0" customHeight="1">
      <c r="A59" s="18" t="str">
        <f t="shared" si="1"/>
        <v/>
      </c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21" t="str">
        <f t="array" ref="Q59">IF($D59="","",IFERROR(INDEX(CATALOGOS!$B$6:$B$14,MATCH($D59,CATALOGOS!$A$6:$A$14,0)),0))</f>
        <v/>
      </c>
      <c r="R59" s="21">
        <f t="array" ref="R59">IF($E59="",0,IFERROR(INDEX(CATALOGOS!$B$19:$B$30,MATCH($E59,CATALOGOS!$A$19:$A$30,0)),0))</f>
        <v>0</v>
      </c>
      <c r="S59" s="21">
        <f t="array" ref="S59">IF($K59="",0,IFERROR(INDEX(CATALOGOS!$B$35:$B$42,MATCH($K59,CATALOGOS!$A$35:$A$42,0)),0))</f>
        <v>0</v>
      </c>
      <c r="T59" s="21">
        <f t="array" ref="T59">IF($J59="",0,IFERROR(INDEX(CATALOGOS!$B$47:$B$51,MATCH($J59,CATALOGOS!$A$47:$A$51,0)),0))</f>
        <v>0</v>
      </c>
      <c r="U59" s="21">
        <f t="array" ref="U59">IF($M59="",0,IFERROR(INDEX(CATALOGOS!$B$56:$B$62,MATCH($M59,CATALOGOS!$A$56:$A$62,0)),0))</f>
        <v>0</v>
      </c>
      <c r="V59" s="21" t="str">
        <f t="shared" si="2"/>
        <v/>
      </c>
      <c r="W59" s="21">
        <f t="array" ref="W59">IF($D59="",0,IFERROR(INDEX(CATALOGOS!$C$6:$C$14,MATCH($D59,CATALOGOS!$A$6:$A$14,0)),0))</f>
        <v>0</v>
      </c>
      <c r="X59" s="21">
        <f t="array" ref="X59">IF($D59="",0,IFERROR(INDEX(CATALOGOS!$D$6:$D$14,MATCH($D59,CATALOGOS!$A$6:$A$14,0)),0))</f>
        <v>0</v>
      </c>
      <c r="Y59" s="21">
        <f t="array" ref="Y59">IF($D59="",0,IFERROR(INDEX(CATALOGOS!$E$6:$E$14,MATCH($D59,CATALOGOS!$A$6:$A$14,0)),0))</f>
        <v>0</v>
      </c>
      <c r="Z59" s="26" t="str">
        <f t="shared" si="3"/>
        <v/>
      </c>
    </row>
    <row r="60" ht="15.0" customHeight="1">
      <c r="A60" s="18" t="str">
        <f t="shared" si="1"/>
        <v/>
      </c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21" t="str">
        <f t="array" ref="Q60">IF($D60="","",IFERROR(INDEX(CATALOGOS!$B$6:$B$14,MATCH($D60,CATALOGOS!$A$6:$A$14,0)),0))</f>
        <v/>
      </c>
      <c r="R60" s="21">
        <f t="array" ref="R60">IF($E60="",0,IFERROR(INDEX(CATALOGOS!$B$19:$B$30,MATCH($E60,CATALOGOS!$A$19:$A$30,0)),0))</f>
        <v>0</v>
      </c>
      <c r="S60" s="21">
        <f t="array" ref="S60">IF($K60="",0,IFERROR(INDEX(CATALOGOS!$B$35:$B$42,MATCH($K60,CATALOGOS!$A$35:$A$42,0)),0))</f>
        <v>0</v>
      </c>
      <c r="T60" s="21">
        <f t="array" ref="T60">IF($J60="",0,IFERROR(INDEX(CATALOGOS!$B$47:$B$51,MATCH($J60,CATALOGOS!$A$47:$A$51,0)),0))</f>
        <v>0</v>
      </c>
      <c r="U60" s="21">
        <f t="array" ref="U60">IF($M60="",0,IFERROR(INDEX(CATALOGOS!$B$56:$B$62,MATCH($M60,CATALOGOS!$A$56:$A$62,0)),0))</f>
        <v>0</v>
      </c>
      <c r="V60" s="21" t="str">
        <f t="shared" si="2"/>
        <v/>
      </c>
      <c r="W60" s="21">
        <f t="array" ref="W60">IF($D60="",0,IFERROR(INDEX(CATALOGOS!$C$6:$C$14,MATCH($D60,CATALOGOS!$A$6:$A$14,0)),0))</f>
        <v>0</v>
      </c>
      <c r="X60" s="21">
        <f t="array" ref="X60">IF($D60="",0,IFERROR(INDEX(CATALOGOS!$D$6:$D$14,MATCH($D60,CATALOGOS!$A$6:$A$14,0)),0))</f>
        <v>0</v>
      </c>
      <c r="Y60" s="21">
        <f t="array" ref="Y60">IF($D60="",0,IFERROR(INDEX(CATALOGOS!$E$6:$E$14,MATCH($D60,CATALOGOS!$A$6:$A$14,0)),0))</f>
        <v>0</v>
      </c>
      <c r="Z60" s="26" t="str">
        <f t="shared" si="3"/>
        <v/>
      </c>
    </row>
    <row r="61" ht="15.0" customHeight="1">
      <c r="A61" s="18" t="str">
        <f t="shared" si="1"/>
        <v/>
      </c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21" t="str">
        <f t="array" ref="Q61">IF($D61="","",IFERROR(INDEX(CATALOGOS!$B$6:$B$14,MATCH($D61,CATALOGOS!$A$6:$A$14,0)),0))</f>
        <v/>
      </c>
      <c r="R61" s="21">
        <f t="array" ref="R61">IF($E61="",0,IFERROR(INDEX(CATALOGOS!$B$19:$B$30,MATCH($E61,CATALOGOS!$A$19:$A$30,0)),0))</f>
        <v>0</v>
      </c>
      <c r="S61" s="21">
        <f t="array" ref="S61">IF($K61="",0,IFERROR(INDEX(CATALOGOS!$B$35:$B$42,MATCH($K61,CATALOGOS!$A$35:$A$42,0)),0))</f>
        <v>0</v>
      </c>
      <c r="T61" s="21">
        <f t="array" ref="T61">IF($J61="",0,IFERROR(INDEX(CATALOGOS!$B$47:$B$51,MATCH($J61,CATALOGOS!$A$47:$A$51,0)),0))</f>
        <v>0</v>
      </c>
      <c r="U61" s="21">
        <f t="array" ref="U61">IF($M61="",0,IFERROR(INDEX(CATALOGOS!$B$56:$B$62,MATCH($M61,CATALOGOS!$A$56:$A$62,0)),0))</f>
        <v>0</v>
      </c>
      <c r="V61" s="21" t="str">
        <f t="shared" si="2"/>
        <v/>
      </c>
      <c r="W61" s="21">
        <f t="array" ref="W61">IF($D61="",0,IFERROR(INDEX(CATALOGOS!$C$6:$C$14,MATCH($D61,CATALOGOS!$A$6:$A$14,0)),0))</f>
        <v>0</v>
      </c>
      <c r="X61" s="21">
        <f t="array" ref="X61">IF($D61="",0,IFERROR(INDEX(CATALOGOS!$D$6:$D$14,MATCH($D61,CATALOGOS!$A$6:$A$14,0)),0))</f>
        <v>0</v>
      </c>
      <c r="Y61" s="21">
        <f t="array" ref="Y61">IF($D61="",0,IFERROR(INDEX(CATALOGOS!$E$6:$E$14,MATCH($D61,CATALOGOS!$A$6:$A$14,0)),0))</f>
        <v>0</v>
      </c>
      <c r="Z61" s="26" t="str">
        <f t="shared" si="3"/>
        <v/>
      </c>
    </row>
    <row r="62" ht="15.0" customHeight="1">
      <c r="A62" s="18" t="str">
        <f t="shared" si="1"/>
        <v/>
      </c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21" t="str">
        <f t="array" ref="Q62">IF($D62="","",IFERROR(INDEX(CATALOGOS!$B$6:$B$14,MATCH($D62,CATALOGOS!$A$6:$A$14,0)),0))</f>
        <v/>
      </c>
      <c r="R62" s="21">
        <f t="array" ref="R62">IF($E62="",0,IFERROR(INDEX(CATALOGOS!$B$19:$B$30,MATCH($E62,CATALOGOS!$A$19:$A$30,0)),0))</f>
        <v>0</v>
      </c>
      <c r="S62" s="21">
        <f t="array" ref="S62">IF($K62="",0,IFERROR(INDEX(CATALOGOS!$B$35:$B$42,MATCH($K62,CATALOGOS!$A$35:$A$42,0)),0))</f>
        <v>0</v>
      </c>
      <c r="T62" s="21">
        <f t="array" ref="T62">IF($J62="",0,IFERROR(INDEX(CATALOGOS!$B$47:$B$51,MATCH($J62,CATALOGOS!$A$47:$A$51,0)),0))</f>
        <v>0</v>
      </c>
      <c r="U62" s="21">
        <f t="array" ref="U62">IF($M62="",0,IFERROR(INDEX(CATALOGOS!$B$56:$B$62,MATCH($M62,CATALOGOS!$A$56:$A$62,0)),0))</f>
        <v>0</v>
      </c>
      <c r="V62" s="21" t="str">
        <f t="shared" si="2"/>
        <v/>
      </c>
      <c r="W62" s="21">
        <f t="array" ref="W62">IF($D62="",0,IFERROR(INDEX(CATALOGOS!$C$6:$C$14,MATCH($D62,CATALOGOS!$A$6:$A$14,0)),0))</f>
        <v>0</v>
      </c>
      <c r="X62" s="21">
        <f t="array" ref="X62">IF($D62="",0,IFERROR(INDEX(CATALOGOS!$D$6:$D$14,MATCH($D62,CATALOGOS!$A$6:$A$14,0)),0))</f>
        <v>0</v>
      </c>
      <c r="Y62" s="21">
        <f t="array" ref="Y62">IF($D62="",0,IFERROR(INDEX(CATALOGOS!$E$6:$E$14,MATCH($D62,CATALOGOS!$A$6:$A$14,0)),0))</f>
        <v>0</v>
      </c>
      <c r="Z62" s="26" t="str">
        <f t="shared" si="3"/>
        <v/>
      </c>
    </row>
    <row r="63" ht="15.0" customHeight="1">
      <c r="A63" s="18" t="str">
        <f t="shared" si="1"/>
        <v/>
      </c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21" t="str">
        <f t="array" ref="Q63">IF($D63="","",IFERROR(INDEX(CATALOGOS!$B$6:$B$14,MATCH($D63,CATALOGOS!$A$6:$A$14,0)),0))</f>
        <v/>
      </c>
      <c r="R63" s="21">
        <f t="array" ref="R63">IF($E63="",0,IFERROR(INDEX(CATALOGOS!$B$19:$B$30,MATCH($E63,CATALOGOS!$A$19:$A$30,0)),0))</f>
        <v>0</v>
      </c>
      <c r="S63" s="21">
        <f t="array" ref="S63">IF($K63="",0,IFERROR(INDEX(CATALOGOS!$B$35:$B$42,MATCH($K63,CATALOGOS!$A$35:$A$42,0)),0))</f>
        <v>0</v>
      </c>
      <c r="T63" s="21">
        <f t="array" ref="T63">IF($J63="",0,IFERROR(INDEX(CATALOGOS!$B$47:$B$51,MATCH($J63,CATALOGOS!$A$47:$A$51,0)),0))</f>
        <v>0</v>
      </c>
      <c r="U63" s="21">
        <f t="array" ref="U63">IF($M63="",0,IFERROR(INDEX(CATALOGOS!$B$56:$B$62,MATCH($M63,CATALOGOS!$A$56:$A$62,0)),0))</f>
        <v>0</v>
      </c>
      <c r="V63" s="21" t="str">
        <f t="shared" si="2"/>
        <v/>
      </c>
      <c r="W63" s="21">
        <f t="array" ref="W63">IF($D63="",0,IFERROR(INDEX(CATALOGOS!$C$6:$C$14,MATCH($D63,CATALOGOS!$A$6:$A$14,0)),0))</f>
        <v>0</v>
      </c>
      <c r="X63" s="21">
        <f t="array" ref="X63">IF($D63="",0,IFERROR(INDEX(CATALOGOS!$D$6:$D$14,MATCH($D63,CATALOGOS!$A$6:$A$14,0)),0))</f>
        <v>0</v>
      </c>
      <c r="Y63" s="21">
        <f t="array" ref="Y63">IF($D63="",0,IFERROR(INDEX(CATALOGOS!$E$6:$E$14,MATCH($D63,CATALOGOS!$A$6:$A$14,0)),0))</f>
        <v>0</v>
      </c>
      <c r="Z63" s="26" t="str">
        <f t="shared" si="3"/>
        <v/>
      </c>
    </row>
    <row r="64" ht="15.0" customHeight="1">
      <c r="A64" s="18" t="str">
        <f t="shared" si="1"/>
        <v/>
      </c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21" t="str">
        <f t="array" ref="Q64">IF($D64="","",IFERROR(INDEX(CATALOGOS!$B$6:$B$14,MATCH($D64,CATALOGOS!$A$6:$A$14,0)),0))</f>
        <v/>
      </c>
      <c r="R64" s="21">
        <f t="array" ref="R64">IF($E64="",0,IFERROR(INDEX(CATALOGOS!$B$19:$B$30,MATCH($E64,CATALOGOS!$A$19:$A$30,0)),0))</f>
        <v>0</v>
      </c>
      <c r="S64" s="21">
        <f t="array" ref="S64">IF($K64="",0,IFERROR(INDEX(CATALOGOS!$B$35:$B$42,MATCH($K64,CATALOGOS!$A$35:$A$42,0)),0))</f>
        <v>0</v>
      </c>
      <c r="T64" s="21">
        <f t="array" ref="T64">IF($J64="",0,IFERROR(INDEX(CATALOGOS!$B$47:$B$51,MATCH($J64,CATALOGOS!$A$47:$A$51,0)),0))</f>
        <v>0</v>
      </c>
      <c r="U64" s="21">
        <f t="array" ref="U64">IF($M64="",0,IFERROR(INDEX(CATALOGOS!$B$56:$B$62,MATCH($M64,CATALOGOS!$A$56:$A$62,0)),0))</f>
        <v>0</v>
      </c>
      <c r="V64" s="21" t="str">
        <f t="shared" si="2"/>
        <v/>
      </c>
      <c r="W64" s="21">
        <f t="array" ref="W64">IF($D64="",0,IFERROR(INDEX(CATALOGOS!$C$6:$C$14,MATCH($D64,CATALOGOS!$A$6:$A$14,0)),0))</f>
        <v>0</v>
      </c>
      <c r="X64" s="21">
        <f t="array" ref="X64">IF($D64="",0,IFERROR(INDEX(CATALOGOS!$D$6:$D$14,MATCH($D64,CATALOGOS!$A$6:$A$14,0)),0))</f>
        <v>0</v>
      </c>
      <c r="Y64" s="21">
        <f t="array" ref="Y64">IF($D64="",0,IFERROR(INDEX(CATALOGOS!$E$6:$E$14,MATCH($D64,CATALOGOS!$A$6:$A$14,0)),0))</f>
        <v>0</v>
      </c>
      <c r="Z64" s="26" t="str">
        <f t="shared" si="3"/>
        <v/>
      </c>
    </row>
    <row r="65" ht="15.0" customHeight="1">
      <c r="A65" s="18" t="str">
        <f t="shared" si="1"/>
        <v/>
      </c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21" t="str">
        <f t="array" ref="Q65">IF($D65="","",IFERROR(INDEX(CATALOGOS!$B$6:$B$14,MATCH($D65,CATALOGOS!$A$6:$A$14,0)),0))</f>
        <v/>
      </c>
      <c r="R65" s="21">
        <f t="array" ref="R65">IF($E65="",0,IFERROR(INDEX(CATALOGOS!$B$19:$B$30,MATCH($E65,CATALOGOS!$A$19:$A$30,0)),0))</f>
        <v>0</v>
      </c>
      <c r="S65" s="21">
        <f t="array" ref="S65">IF($K65="",0,IFERROR(INDEX(CATALOGOS!$B$35:$B$42,MATCH($K65,CATALOGOS!$A$35:$A$42,0)),0))</f>
        <v>0</v>
      </c>
      <c r="T65" s="21">
        <f t="array" ref="T65">IF($J65="",0,IFERROR(INDEX(CATALOGOS!$B$47:$B$51,MATCH($J65,CATALOGOS!$A$47:$A$51,0)),0))</f>
        <v>0</v>
      </c>
      <c r="U65" s="21">
        <f t="array" ref="U65">IF($M65="",0,IFERROR(INDEX(CATALOGOS!$B$56:$B$62,MATCH($M65,CATALOGOS!$A$56:$A$62,0)),0))</f>
        <v>0</v>
      </c>
      <c r="V65" s="21" t="str">
        <f t="shared" si="2"/>
        <v/>
      </c>
      <c r="W65" s="21">
        <f t="array" ref="W65">IF($D65="",0,IFERROR(INDEX(CATALOGOS!$C$6:$C$14,MATCH($D65,CATALOGOS!$A$6:$A$14,0)),0))</f>
        <v>0</v>
      </c>
      <c r="X65" s="21">
        <f t="array" ref="X65">IF($D65="",0,IFERROR(INDEX(CATALOGOS!$D$6:$D$14,MATCH($D65,CATALOGOS!$A$6:$A$14,0)),0))</f>
        <v>0</v>
      </c>
      <c r="Y65" s="21">
        <f t="array" ref="Y65">IF($D65="",0,IFERROR(INDEX(CATALOGOS!$E$6:$E$14,MATCH($D65,CATALOGOS!$A$6:$A$14,0)),0))</f>
        <v>0</v>
      </c>
      <c r="Z65" s="26" t="str">
        <f t="shared" si="3"/>
        <v/>
      </c>
    </row>
    <row r="66" ht="15.0" customHeight="1">
      <c r="A66" s="18" t="str">
        <f t="shared" si="1"/>
        <v/>
      </c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21" t="str">
        <f t="array" ref="Q66">IF($D66="","",IFERROR(INDEX(CATALOGOS!$B$6:$B$14,MATCH($D66,CATALOGOS!$A$6:$A$14,0)),0))</f>
        <v/>
      </c>
      <c r="R66" s="21">
        <f t="array" ref="R66">IF($E66="",0,IFERROR(INDEX(CATALOGOS!$B$19:$B$30,MATCH($E66,CATALOGOS!$A$19:$A$30,0)),0))</f>
        <v>0</v>
      </c>
      <c r="S66" s="21">
        <f t="array" ref="S66">IF($K66="",0,IFERROR(INDEX(CATALOGOS!$B$35:$B$42,MATCH($K66,CATALOGOS!$A$35:$A$42,0)),0))</f>
        <v>0</v>
      </c>
      <c r="T66" s="21">
        <f t="array" ref="T66">IF($J66="",0,IFERROR(INDEX(CATALOGOS!$B$47:$B$51,MATCH($J66,CATALOGOS!$A$47:$A$51,0)),0))</f>
        <v>0</v>
      </c>
      <c r="U66" s="21">
        <f t="array" ref="U66">IF($M66="",0,IFERROR(INDEX(CATALOGOS!$B$56:$B$62,MATCH($M66,CATALOGOS!$A$56:$A$62,0)),0))</f>
        <v>0</v>
      </c>
      <c r="V66" s="21" t="str">
        <f t="shared" si="2"/>
        <v/>
      </c>
      <c r="W66" s="21">
        <f t="array" ref="W66">IF($D66="",0,IFERROR(INDEX(CATALOGOS!$C$6:$C$14,MATCH($D66,CATALOGOS!$A$6:$A$14,0)),0))</f>
        <v>0</v>
      </c>
      <c r="X66" s="21">
        <f t="array" ref="X66">IF($D66="",0,IFERROR(INDEX(CATALOGOS!$D$6:$D$14,MATCH($D66,CATALOGOS!$A$6:$A$14,0)),0))</f>
        <v>0</v>
      </c>
      <c r="Y66" s="21">
        <f t="array" ref="Y66">IF($D66="",0,IFERROR(INDEX(CATALOGOS!$E$6:$E$14,MATCH($D66,CATALOGOS!$A$6:$A$14,0)),0))</f>
        <v>0</v>
      </c>
      <c r="Z66" s="26" t="str">
        <f t="shared" si="3"/>
        <v/>
      </c>
    </row>
    <row r="67" ht="15.0" customHeight="1">
      <c r="A67" s="18" t="str">
        <f t="shared" si="1"/>
        <v/>
      </c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21" t="str">
        <f t="array" ref="Q67">IF($D67="","",IFERROR(INDEX(CATALOGOS!$B$6:$B$14,MATCH($D67,CATALOGOS!$A$6:$A$14,0)),0))</f>
        <v/>
      </c>
      <c r="R67" s="21">
        <f t="array" ref="R67">IF($E67="",0,IFERROR(INDEX(CATALOGOS!$B$19:$B$30,MATCH($E67,CATALOGOS!$A$19:$A$30,0)),0))</f>
        <v>0</v>
      </c>
      <c r="S67" s="21">
        <f t="array" ref="S67">IF($K67="",0,IFERROR(INDEX(CATALOGOS!$B$35:$B$42,MATCH($K67,CATALOGOS!$A$35:$A$42,0)),0))</f>
        <v>0</v>
      </c>
      <c r="T67" s="21">
        <f t="array" ref="T67">IF($J67="",0,IFERROR(INDEX(CATALOGOS!$B$47:$B$51,MATCH($J67,CATALOGOS!$A$47:$A$51,0)),0))</f>
        <v>0</v>
      </c>
      <c r="U67" s="21">
        <f t="array" ref="U67">IF($M67="",0,IFERROR(INDEX(CATALOGOS!$B$56:$B$62,MATCH($M67,CATALOGOS!$A$56:$A$62,0)),0))</f>
        <v>0</v>
      </c>
      <c r="V67" s="21" t="str">
        <f t="shared" si="2"/>
        <v/>
      </c>
      <c r="W67" s="21">
        <f t="array" ref="W67">IF($D67="",0,IFERROR(INDEX(CATALOGOS!$C$6:$C$14,MATCH($D67,CATALOGOS!$A$6:$A$14,0)),0))</f>
        <v>0</v>
      </c>
      <c r="X67" s="21">
        <f t="array" ref="X67">IF($D67="",0,IFERROR(INDEX(CATALOGOS!$D$6:$D$14,MATCH($D67,CATALOGOS!$A$6:$A$14,0)),0))</f>
        <v>0</v>
      </c>
      <c r="Y67" s="21">
        <f t="array" ref="Y67">IF($D67="",0,IFERROR(INDEX(CATALOGOS!$E$6:$E$14,MATCH($D67,CATALOGOS!$A$6:$A$14,0)),0))</f>
        <v>0</v>
      </c>
      <c r="Z67" s="26" t="str">
        <f t="shared" si="3"/>
        <v/>
      </c>
    </row>
    <row r="68" ht="15.0" customHeight="1">
      <c r="A68" s="18" t="str">
        <f t="shared" si="1"/>
        <v/>
      </c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21" t="str">
        <f t="array" ref="Q68">IF($D68="","",IFERROR(INDEX(CATALOGOS!$B$6:$B$14,MATCH($D68,CATALOGOS!$A$6:$A$14,0)),0))</f>
        <v/>
      </c>
      <c r="R68" s="21">
        <f t="array" ref="R68">IF($E68="",0,IFERROR(INDEX(CATALOGOS!$B$19:$B$30,MATCH($E68,CATALOGOS!$A$19:$A$30,0)),0))</f>
        <v>0</v>
      </c>
      <c r="S68" s="21">
        <f t="array" ref="S68">IF($K68="",0,IFERROR(INDEX(CATALOGOS!$B$35:$B$42,MATCH($K68,CATALOGOS!$A$35:$A$42,0)),0))</f>
        <v>0</v>
      </c>
      <c r="T68" s="21">
        <f t="array" ref="T68">IF($J68="",0,IFERROR(INDEX(CATALOGOS!$B$47:$B$51,MATCH($J68,CATALOGOS!$A$47:$A$51,0)),0))</f>
        <v>0</v>
      </c>
      <c r="U68" s="21">
        <f t="array" ref="U68">IF($M68="",0,IFERROR(INDEX(CATALOGOS!$B$56:$B$62,MATCH($M68,CATALOGOS!$A$56:$A$62,0)),0))</f>
        <v>0</v>
      </c>
      <c r="V68" s="21" t="str">
        <f t="shared" si="2"/>
        <v/>
      </c>
      <c r="W68" s="21">
        <f t="array" ref="W68">IF($D68="",0,IFERROR(INDEX(CATALOGOS!$C$6:$C$14,MATCH($D68,CATALOGOS!$A$6:$A$14,0)),0))</f>
        <v>0</v>
      </c>
      <c r="X68" s="21">
        <f t="array" ref="X68">IF($D68="",0,IFERROR(INDEX(CATALOGOS!$D$6:$D$14,MATCH($D68,CATALOGOS!$A$6:$A$14,0)),0))</f>
        <v>0</v>
      </c>
      <c r="Y68" s="21">
        <f t="array" ref="Y68">IF($D68="",0,IFERROR(INDEX(CATALOGOS!$E$6:$E$14,MATCH($D68,CATALOGOS!$A$6:$A$14,0)),0))</f>
        <v>0</v>
      </c>
      <c r="Z68" s="26" t="str">
        <f t="shared" si="3"/>
        <v/>
      </c>
    </row>
    <row r="69" ht="15.0" customHeight="1">
      <c r="A69" s="18" t="str">
        <f t="shared" si="1"/>
        <v/>
      </c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21" t="str">
        <f t="array" ref="Q69">IF($D69="","",IFERROR(INDEX(CATALOGOS!$B$6:$B$14,MATCH($D69,CATALOGOS!$A$6:$A$14,0)),0))</f>
        <v/>
      </c>
      <c r="R69" s="21">
        <f t="array" ref="R69">IF($E69="",0,IFERROR(INDEX(CATALOGOS!$B$19:$B$30,MATCH($E69,CATALOGOS!$A$19:$A$30,0)),0))</f>
        <v>0</v>
      </c>
      <c r="S69" s="21">
        <f t="array" ref="S69">IF($K69="",0,IFERROR(INDEX(CATALOGOS!$B$35:$B$42,MATCH($K69,CATALOGOS!$A$35:$A$42,0)),0))</f>
        <v>0</v>
      </c>
      <c r="T69" s="21">
        <f t="array" ref="T69">IF($J69="",0,IFERROR(INDEX(CATALOGOS!$B$47:$B$51,MATCH($J69,CATALOGOS!$A$47:$A$51,0)),0))</f>
        <v>0</v>
      </c>
      <c r="U69" s="21">
        <f t="array" ref="U69">IF($M69="",0,IFERROR(INDEX(CATALOGOS!$B$56:$B$62,MATCH($M69,CATALOGOS!$A$56:$A$62,0)),0))</f>
        <v>0</v>
      </c>
      <c r="V69" s="21" t="str">
        <f t="shared" si="2"/>
        <v/>
      </c>
      <c r="W69" s="21">
        <f t="array" ref="W69">IF($D69="",0,IFERROR(INDEX(CATALOGOS!$C$6:$C$14,MATCH($D69,CATALOGOS!$A$6:$A$14,0)),0))</f>
        <v>0</v>
      </c>
      <c r="X69" s="21">
        <f t="array" ref="X69">IF($D69="",0,IFERROR(INDEX(CATALOGOS!$D$6:$D$14,MATCH($D69,CATALOGOS!$A$6:$A$14,0)),0))</f>
        <v>0</v>
      </c>
      <c r="Y69" s="21">
        <f t="array" ref="Y69">IF($D69="",0,IFERROR(INDEX(CATALOGOS!$E$6:$E$14,MATCH($D69,CATALOGOS!$A$6:$A$14,0)),0))</f>
        <v>0</v>
      </c>
      <c r="Z69" s="26" t="str">
        <f t="shared" si="3"/>
        <v/>
      </c>
    </row>
    <row r="70" ht="15.0" customHeight="1">
      <c r="A70" s="18" t="str">
        <f t="shared" si="1"/>
        <v/>
      </c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21" t="str">
        <f t="array" ref="Q70">IF($D70="","",IFERROR(INDEX(CATALOGOS!$B$6:$B$14,MATCH($D70,CATALOGOS!$A$6:$A$14,0)),0))</f>
        <v/>
      </c>
      <c r="R70" s="21">
        <f t="array" ref="R70">IF($E70="",0,IFERROR(INDEX(CATALOGOS!$B$19:$B$30,MATCH($E70,CATALOGOS!$A$19:$A$30,0)),0))</f>
        <v>0</v>
      </c>
      <c r="S70" s="21">
        <f t="array" ref="S70">IF($K70="",0,IFERROR(INDEX(CATALOGOS!$B$35:$B$42,MATCH($K70,CATALOGOS!$A$35:$A$42,0)),0))</f>
        <v>0</v>
      </c>
      <c r="T70" s="21">
        <f t="array" ref="T70">IF($J70="",0,IFERROR(INDEX(CATALOGOS!$B$47:$B$51,MATCH($J70,CATALOGOS!$A$47:$A$51,0)),0))</f>
        <v>0</v>
      </c>
      <c r="U70" s="21">
        <f t="array" ref="U70">IF($M70="",0,IFERROR(INDEX(CATALOGOS!$B$56:$B$62,MATCH($M70,CATALOGOS!$A$56:$A$62,0)),0))</f>
        <v>0</v>
      </c>
      <c r="V70" s="21" t="str">
        <f t="shared" si="2"/>
        <v/>
      </c>
      <c r="W70" s="21">
        <f t="array" ref="W70">IF($D70="",0,IFERROR(INDEX(CATALOGOS!$C$6:$C$14,MATCH($D70,CATALOGOS!$A$6:$A$14,0)),0))</f>
        <v>0</v>
      </c>
      <c r="X70" s="21">
        <f t="array" ref="X70">IF($D70="",0,IFERROR(INDEX(CATALOGOS!$D$6:$D$14,MATCH($D70,CATALOGOS!$A$6:$A$14,0)),0))</f>
        <v>0</v>
      </c>
      <c r="Y70" s="21">
        <f t="array" ref="Y70">IF($D70="",0,IFERROR(INDEX(CATALOGOS!$E$6:$E$14,MATCH($D70,CATALOGOS!$A$6:$A$14,0)),0))</f>
        <v>0</v>
      </c>
      <c r="Z70" s="26" t="str">
        <f t="shared" si="3"/>
        <v/>
      </c>
    </row>
    <row r="71" ht="15.0" customHeight="1">
      <c r="A71" s="18" t="str">
        <f t="shared" si="1"/>
        <v/>
      </c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21" t="str">
        <f t="array" ref="Q71">IF($D71="","",IFERROR(INDEX(CATALOGOS!$B$6:$B$14,MATCH($D71,CATALOGOS!$A$6:$A$14,0)),0))</f>
        <v/>
      </c>
      <c r="R71" s="21">
        <f t="array" ref="R71">IF($E71="",0,IFERROR(INDEX(CATALOGOS!$B$19:$B$30,MATCH($E71,CATALOGOS!$A$19:$A$30,0)),0))</f>
        <v>0</v>
      </c>
      <c r="S71" s="21">
        <f t="array" ref="S71">IF($K71="",0,IFERROR(INDEX(CATALOGOS!$B$35:$B$42,MATCH($K71,CATALOGOS!$A$35:$A$42,0)),0))</f>
        <v>0</v>
      </c>
      <c r="T71" s="21">
        <f t="array" ref="T71">IF($J71="",0,IFERROR(INDEX(CATALOGOS!$B$47:$B$51,MATCH($J71,CATALOGOS!$A$47:$A$51,0)),0))</f>
        <v>0</v>
      </c>
      <c r="U71" s="21">
        <f t="array" ref="U71">IF($M71="",0,IFERROR(INDEX(CATALOGOS!$B$56:$B$62,MATCH($M71,CATALOGOS!$A$56:$A$62,0)),0))</f>
        <v>0</v>
      </c>
      <c r="V71" s="21" t="str">
        <f t="shared" si="2"/>
        <v/>
      </c>
      <c r="W71" s="21">
        <f t="array" ref="W71">IF($D71="",0,IFERROR(INDEX(CATALOGOS!$C$6:$C$14,MATCH($D71,CATALOGOS!$A$6:$A$14,0)),0))</f>
        <v>0</v>
      </c>
      <c r="X71" s="21">
        <f t="array" ref="X71">IF($D71="",0,IFERROR(INDEX(CATALOGOS!$D$6:$D$14,MATCH($D71,CATALOGOS!$A$6:$A$14,0)),0))</f>
        <v>0</v>
      </c>
      <c r="Y71" s="21">
        <f t="array" ref="Y71">IF($D71="",0,IFERROR(INDEX(CATALOGOS!$E$6:$E$14,MATCH($D71,CATALOGOS!$A$6:$A$14,0)),0))</f>
        <v>0</v>
      </c>
      <c r="Z71" s="26" t="str">
        <f t="shared" si="3"/>
        <v/>
      </c>
    </row>
    <row r="72" ht="15.0" customHeight="1">
      <c r="A72" s="18" t="str">
        <f t="shared" si="1"/>
        <v/>
      </c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21" t="str">
        <f t="array" ref="Q72">IF($D72="","",IFERROR(INDEX(CATALOGOS!$B$6:$B$14,MATCH($D72,CATALOGOS!$A$6:$A$14,0)),0))</f>
        <v/>
      </c>
      <c r="R72" s="21">
        <f t="array" ref="R72">IF($E72="",0,IFERROR(INDEX(CATALOGOS!$B$19:$B$30,MATCH($E72,CATALOGOS!$A$19:$A$30,0)),0))</f>
        <v>0</v>
      </c>
      <c r="S72" s="21">
        <f t="array" ref="S72">IF($K72="",0,IFERROR(INDEX(CATALOGOS!$B$35:$B$42,MATCH($K72,CATALOGOS!$A$35:$A$42,0)),0))</f>
        <v>0</v>
      </c>
      <c r="T72" s="21">
        <f t="array" ref="T72">IF($J72="",0,IFERROR(INDEX(CATALOGOS!$B$47:$B$51,MATCH($J72,CATALOGOS!$A$47:$A$51,0)),0))</f>
        <v>0</v>
      </c>
      <c r="U72" s="21">
        <f t="array" ref="U72">IF($M72="",0,IFERROR(INDEX(CATALOGOS!$B$56:$B$62,MATCH($M72,CATALOGOS!$A$56:$A$62,0)),0))</f>
        <v>0</v>
      </c>
      <c r="V72" s="21" t="str">
        <f t="shared" si="2"/>
        <v/>
      </c>
      <c r="W72" s="21">
        <f t="array" ref="W72">IF($D72="",0,IFERROR(INDEX(CATALOGOS!$C$6:$C$14,MATCH($D72,CATALOGOS!$A$6:$A$14,0)),0))</f>
        <v>0</v>
      </c>
      <c r="X72" s="21">
        <f t="array" ref="X72">IF($D72="",0,IFERROR(INDEX(CATALOGOS!$D$6:$D$14,MATCH($D72,CATALOGOS!$A$6:$A$14,0)),0))</f>
        <v>0</v>
      </c>
      <c r="Y72" s="21">
        <f t="array" ref="Y72">IF($D72="",0,IFERROR(INDEX(CATALOGOS!$E$6:$E$14,MATCH($D72,CATALOGOS!$A$6:$A$14,0)),0))</f>
        <v>0</v>
      </c>
      <c r="Z72" s="26" t="str">
        <f t="shared" si="3"/>
        <v/>
      </c>
    </row>
    <row r="73" ht="15.0" customHeight="1">
      <c r="A73" s="18" t="str">
        <f t="shared" si="1"/>
        <v/>
      </c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21" t="str">
        <f t="array" ref="Q73">IF($D73="","",IFERROR(INDEX(CATALOGOS!$B$6:$B$14,MATCH($D73,CATALOGOS!$A$6:$A$14,0)),0))</f>
        <v/>
      </c>
      <c r="R73" s="21">
        <f t="array" ref="R73">IF($E73="",0,IFERROR(INDEX(CATALOGOS!$B$19:$B$30,MATCH($E73,CATALOGOS!$A$19:$A$30,0)),0))</f>
        <v>0</v>
      </c>
      <c r="S73" s="21">
        <f t="array" ref="S73">IF($K73="",0,IFERROR(INDEX(CATALOGOS!$B$35:$B$42,MATCH($K73,CATALOGOS!$A$35:$A$42,0)),0))</f>
        <v>0</v>
      </c>
      <c r="T73" s="21">
        <f t="array" ref="T73">IF($J73="",0,IFERROR(INDEX(CATALOGOS!$B$47:$B$51,MATCH($J73,CATALOGOS!$A$47:$A$51,0)),0))</f>
        <v>0</v>
      </c>
      <c r="U73" s="21">
        <f t="array" ref="U73">IF($M73="",0,IFERROR(INDEX(CATALOGOS!$B$56:$B$62,MATCH($M73,CATALOGOS!$A$56:$A$62,0)),0))</f>
        <v>0</v>
      </c>
      <c r="V73" s="21" t="str">
        <f t="shared" si="2"/>
        <v/>
      </c>
      <c r="W73" s="21">
        <f t="array" ref="W73">IF($D73="",0,IFERROR(INDEX(CATALOGOS!$C$6:$C$14,MATCH($D73,CATALOGOS!$A$6:$A$14,0)),0))</f>
        <v>0</v>
      </c>
      <c r="X73" s="21">
        <f t="array" ref="X73">IF($D73="",0,IFERROR(INDEX(CATALOGOS!$D$6:$D$14,MATCH($D73,CATALOGOS!$A$6:$A$14,0)),0))</f>
        <v>0</v>
      </c>
      <c r="Y73" s="21">
        <f t="array" ref="Y73">IF($D73="",0,IFERROR(INDEX(CATALOGOS!$E$6:$E$14,MATCH($D73,CATALOGOS!$A$6:$A$14,0)),0))</f>
        <v>0</v>
      </c>
      <c r="Z73" s="26" t="str">
        <f t="shared" si="3"/>
        <v/>
      </c>
    </row>
    <row r="74" ht="15.0" customHeight="1">
      <c r="A74" s="18" t="str">
        <f t="shared" si="1"/>
        <v/>
      </c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21" t="str">
        <f t="array" ref="Q74">IF($D74="","",IFERROR(INDEX(CATALOGOS!$B$6:$B$14,MATCH($D74,CATALOGOS!$A$6:$A$14,0)),0))</f>
        <v/>
      </c>
      <c r="R74" s="21">
        <f t="array" ref="R74">IF($E74="",0,IFERROR(INDEX(CATALOGOS!$B$19:$B$30,MATCH($E74,CATALOGOS!$A$19:$A$30,0)),0))</f>
        <v>0</v>
      </c>
      <c r="S74" s="21">
        <f t="array" ref="S74">IF($K74="",0,IFERROR(INDEX(CATALOGOS!$B$35:$B$42,MATCH($K74,CATALOGOS!$A$35:$A$42,0)),0))</f>
        <v>0</v>
      </c>
      <c r="T74" s="21">
        <f t="array" ref="T74">IF($J74="",0,IFERROR(INDEX(CATALOGOS!$B$47:$B$51,MATCH($J74,CATALOGOS!$A$47:$A$51,0)),0))</f>
        <v>0</v>
      </c>
      <c r="U74" s="21">
        <f t="array" ref="U74">IF($M74="",0,IFERROR(INDEX(CATALOGOS!$B$56:$B$62,MATCH($M74,CATALOGOS!$A$56:$A$62,0)),0))</f>
        <v>0</v>
      </c>
      <c r="V74" s="21" t="str">
        <f t="shared" si="2"/>
        <v/>
      </c>
      <c r="W74" s="21">
        <f t="array" ref="W74">IF($D74="",0,IFERROR(INDEX(CATALOGOS!$C$6:$C$14,MATCH($D74,CATALOGOS!$A$6:$A$14,0)),0))</f>
        <v>0</v>
      </c>
      <c r="X74" s="21">
        <f t="array" ref="X74">IF($D74="",0,IFERROR(INDEX(CATALOGOS!$D$6:$D$14,MATCH($D74,CATALOGOS!$A$6:$A$14,0)),0))</f>
        <v>0</v>
      </c>
      <c r="Y74" s="21">
        <f t="array" ref="Y74">IF($D74="",0,IFERROR(INDEX(CATALOGOS!$E$6:$E$14,MATCH($D74,CATALOGOS!$A$6:$A$14,0)),0))</f>
        <v>0</v>
      </c>
      <c r="Z74" s="26" t="str">
        <f t="shared" si="3"/>
        <v/>
      </c>
    </row>
    <row r="75" ht="15.0" customHeight="1">
      <c r="A75" s="18" t="str">
        <f t="shared" si="1"/>
        <v/>
      </c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21" t="str">
        <f t="array" ref="Q75">IF($D75="","",IFERROR(INDEX(CATALOGOS!$B$6:$B$14,MATCH($D75,CATALOGOS!$A$6:$A$14,0)),0))</f>
        <v/>
      </c>
      <c r="R75" s="21">
        <f t="array" ref="R75">IF($E75="",0,IFERROR(INDEX(CATALOGOS!$B$19:$B$30,MATCH($E75,CATALOGOS!$A$19:$A$30,0)),0))</f>
        <v>0</v>
      </c>
      <c r="S75" s="21">
        <f t="array" ref="S75">IF($K75="",0,IFERROR(INDEX(CATALOGOS!$B$35:$B$42,MATCH($K75,CATALOGOS!$A$35:$A$42,0)),0))</f>
        <v>0</v>
      </c>
      <c r="T75" s="21">
        <f t="array" ref="T75">IF($J75="",0,IFERROR(INDEX(CATALOGOS!$B$47:$B$51,MATCH($J75,CATALOGOS!$A$47:$A$51,0)),0))</f>
        <v>0</v>
      </c>
      <c r="U75" s="21">
        <f t="array" ref="U75">IF($M75="",0,IFERROR(INDEX(CATALOGOS!$B$56:$B$62,MATCH($M75,CATALOGOS!$A$56:$A$62,0)),0))</f>
        <v>0</v>
      </c>
      <c r="V75" s="21" t="str">
        <f t="shared" si="2"/>
        <v/>
      </c>
      <c r="W75" s="21">
        <f t="array" ref="W75">IF($D75="",0,IFERROR(INDEX(CATALOGOS!$C$6:$C$14,MATCH($D75,CATALOGOS!$A$6:$A$14,0)),0))</f>
        <v>0</v>
      </c>
      <c r="X75" s="21">
        <f t="array" ref="X75">IF($D75="",0,IFERROR(INDEX(CATALOGOS!$D$6:$D$14,MATCH($D75,CATALOGOS!$A$6:$A$14,0)),0))</f>
        <v>0</v>
      </c>
      <c r="Y75" s="21">
        <f t="array" ref="Y75">IF($D75="",0,IFERROR(INDEX(CATALOGOS!$E$6:$E$14,MATCH($D75,CATALOGOS!$A$6:$A$14,0)),0))</f>
        <v>0</v>
      </c>
      <c r="Z75" s="26" t="str">
        <f t="shared" si="3"/>
        <v/>
      </c>
    </row>
    <row r="76" ht="15.0" customHeight="1">
      <c r="A76" s="18" t="str">
        <f t="shared" si="1"/>
        <v/>
      </c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21" t="str">
        <f t="array" ref="Q76">IF($D76="","",IFERROR(INDEX(CATALOGOS!$B$6:$B$14,MATCH($D76,CATALOGOS!$A$6:$A$14,0)),0))</f>
        <v/>
      </c>
      <c r="R76" s="21">
        <f t="array" ref="R76">IF($E76="",0,IFERROR(INDEX(CATALOGOS!$B$19:$B$30,MATCH($E76,CATALOGOS!$A$19:$A$30,0)),0))</f>
        <v>0</v>
      </c>
      <c r="S76" s="21">
        <f t="array" ref="S76">IF($K76="",0,IFERROR(INDEX(CATALOGOS!$B$35:$B$42,MATCH($K76,CATALOGOS!$A$35:$A$42,0)),0))</f>
        <v>0</v>
      </c>
      <c r="T76" s="21">
        <f t="array" ref="T76">IF($J76="",0,IFERROR(INDEX(CATALOGOS!$B$47:$B$51,MATCH($J76,CATALOGOS!$A$47:$A$51,0)),0))</f>
        <v>0</v>
      </c>
      <c r="U76" s="21">
        <f t="array" ref="U76">IF($M76="",0,IFERROR(INDEX(CATALOGOS!$B$56:$B$62,MATCH($M76,CATALOGOS!$A$56:$A$62,0)),0))</f>
        <v>0</v>
      </c>
      <c r="V76" s="21" t="str">
        <f t="shared" si="2"/>
        <v/>
      </c>
      <c r="W76" s="21">
        <f t="array" ref="W76">IF($D76="",0,IFERROR(INDEX(CATALOGOS!$C$6:$C$14,MATCH($D76,CATALOGOS!$A$6:$A$14,0)),0))</f>
        <v>0</v>
      </c>
      <c r="X76" s="21">
        <f t="array" ref="X76">IF($D76="",0,IFERROR(INDEX(CATALOGOS!$D$6:$D$14,MATCH($D76,CATALOGOS!$A$6:$A$14,0)),0))</f>
        <v>0</v>
      </c>
      <c r="Y76" s="21">
        <f t="array" ref="Y76">IF($D76="",0,IFERROR(INDEX(CATALOGOS!$E$6:$E$14,MATCH($D76,CATALOGOS!$A$6:$A$14,0)),0))</f>
        <v>0</v>
      </c>
      <c r="Z76" s="26" t="str">
        <f t="shared" si="3"/>
        <v/>
      </c>
    </row>
    <row r="77" ht="15.0" customHeight="1">
      <c r="A77" s="18" t="str">
        <f t="shared" si="1"/>
        <v/>
      </c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21" t="str">
        <f t="array" ref="Q77">IF($D77="","",IFERROR(INDEX(CATALOGOS!$B$6:$B$14,MATCH($D77,CATALOGOS!$A$6:$A$14,0)),0))</f>
        <v/>
      </c>
      <c r="R77" s="21">
        <f t="array" ref="R77">IF($E77="",0,IFERROR(INDEX(CATALOGOS!$B$19:$B$30,MATCH($E77,CATALOGOS!$A$19:$A$30,0)),0))</f>
        <v>0</v>
      </c>
      <c r="S77" s="21">
        <f t="array" ref="S77">IF($K77="",0,IFERROR(INDEX(CATALOGOS!$B$35:$B$42,MATCH($K77,CATALOGOS!$A$35:$A$42,0)),0))</f>
        <v>0</v>
      </c>
      <c r="T77" s="21">
        <f t="array" ref="T77">IF($J77="",0,IFERROR(INDEX(CATALOGOS!$B$47:$B$51,MATCH($J77,CATALOGOS!$A$47:$A$51,0)),0))</f>
        <v>0</v>
      </c>
      <c r="U77" s="21">
        <f t="array" ref="U77">IF($M77="",0,IFERROR(INDEX(CATALOGOS!$B$56:$B$62,MATCH($M77,CATALOGOS!$A$56:$A$62,0)),0))</f>
        <v>0</v>
      </c>
      <c r="V77" s="21" t="str">
        <f t="shared" si="2"/>
        <v/>
      </c>
      <c r="W77" s="21">
        <f t="array" ref="W77">IF($D77="",0,IFERROR(INDEX(CATALOGOS!$C$6:$C$14,MATCH($D77,CATALOGOS!$A$6:$A$14,0)),0))</f>
        <v>0</v>
      </c>
      <c r="X77" s="21">
        <f t="array" ref="X77">IF($D77="",0,IFERROR(INDEX(CATALOGOS!$D$6:$D$14,MATCH($D77,CATALOGOS!$A$6:$A$14,0)),0))</f>
        <v>0</v>
      </c>
      <c r="Y77" s="21">
        <f t="array" ref="Y77">IF($D77="",0,IFERROR(INDEX(CATALOGOS!$E$6:$E$14,MATCH($D77,CATALOGOS!$A$6:$A$14,0)),0))</f>
        <v>0</v>
      </c>
      <c r="Z77" s="26" t="str">
        <f t="shared" si="3"/>
        <v/>
      </c>
    </row>
    <row r="78" ht="15.0" customHeight="1">
      <c r="A78" s="18" t="str">
        <f t="shared" si="1"/>
        <v/>
      </c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21" t="str">
        <f t="array" ref="Q78">IF($D78="","",IFERROR(INDEX(CATALOGOS!$B$6:$B$14,MATCH($D78,CATALOGOS!$A$6:$A$14,0)),0))</f>
        <v/>
      </c>
      <c r="R78" s="21">
        <f t="array" ref="R78">IF($E78="",0,IFERROR(INDEX(CATALOGOS!$B$19:$B$30,MATCH($E78,CATALOGOS!$A$19:$A$30,0)),0))</f>
        <v>0</v>
      </c>
      <c r="S78" s="21">
        <f t="array" ref="S78">IF($K78="",0,IFERROR(INDEX(CATALOGOS!$B$35:$B$42,MATCH($K78,CATALOGOS!$A$35:$A$42,0)),0))</f>
        <v>0</v>
      </c>
      <c r="T78" s="21">
        <f t="array" ref="T78">IF($J78="",0,IFERROR(INDEX(CATALOGOS!$B$47:$B$51,MATCH($J78,CATALOGOS!$A$47:$A$51,0)),0))</f>
        <v>0</v>
      </c>
      <c r="U78" s="21">
        <f t="array" ref="U78">IF($M78="",0,IFERROR(INDEX(CATALOGOS!$B$56:$B$62,MATCH($M78,CATALOGOS!$A$56:$A$62,0)),0))</f>
        <v>0</v>
      </c>
      <c r="V78" s="21" t="str">
        <f t="shared" si="2"/>
        <v/>
      </c>
      <c r="W78" s="21">
        <f t="array" ref="W78">IF($D78="",0,IFERROR(INDEX(CATALOGOS!$C$6:$C$14,MATCH($D78,CATALOGOS!$A$6:$A$14,0)),0))</f>
        <v>0</v>
      </c>
      <c r="X78" s="21">
        <f t="array" ref="X78">IF($D78="",0,IFERROR(INDEX(CATALOGOS!$D$6:$D$14,MATCH($D78,CATALOGOS!$A$6:$A$14,0)),0))</f>
        <v>0</v>
      </c>
      <c r="Y78" s="21">
        <f t="array" ref="Y78">IF($D78="",0,IFERROR(INDEX(CATALOGOS!$E$6:$E$14,MATCH($D78,CATALOGOS!$A$6:$A$14,0)),0))</f>
        <v>0</v>
      </c>
      <c r="Z78" s="26" t="str">
        <f t="shared" si="3"/>
        <v/>
      </c>
    </row>
    <row r="79" ht="15.0" customHeight="1">
      <c r="A79" s="18" t="str">
        <f t="shared" si="1"/>
        <v/>
      </c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21" t="str">
        <f t="array" ref="Q79">IF($D79="","",IFERROR(INDEX(CATALOGOS!$B$6:$B$14,MATCH($D79,CATALOGOS!$A$6:$A$14,0)),0))</f>
        <v/>
      </c>
      <c r="R79" s="21">
        <f t="array" ref="R79">IF($E79="",0,IFERROR(INDEX(CATALOGOS!$B$19:$B$30,MATCH($E79,CATALOGOS!$A$19:$A$30,0)),0))</f>
        <v>0</v>
      </c>
      <c r="S79" s="21">
        <f t="array" ref="S79">IF($K79="",0,IFERROR(INDEX(CATALOGOS!$B$35:$B$42,MATCH($K79,CATALOGOS!$A$35:$A$42,0)),0))</f>
        <v>0</v>
      </c>
      <c r="T79" s="21">
        <f t="array" ref="T79">IF($J79="",0,IFERROR(INDEX(CATALOGOS!$B$47:$B$51,MATCH($J79,CATALOGOS!$A$47:$A$51,0)),0))</f>
        <v>0</v>
      </c>
      <c r="U79" s="21">
        <f t="array" ref="U79">IF($M79="",0,IFERROR(INDEX(CATALOGOS!$B$56:$B$62,MATCH($M79,CATALOGOS!$A$56:$A$62,0)),0))</f>
        <v>0</v>
      </c>
      <c r="V79" s="21" t="str">
        <f t="shared" si="2"/>
        <v/>
      </c>
      <c r="W79" s="21">
        <f t="array" ref="W79">IF($D79="",0,IFERROR(INDEX(CATALOGOS!$C$6:$C$14,MATCH($D79,CATALOGOS!$A$6:$A$14,0)),0))</f>
        <v>0</v>
      </c>
      <c r="X79" s="21">
        <f t="array" ref="X79">IF($D79="",0,IFERROR(INDEX(CATALOGOS!$D$6:$D$14,MATCH($D79,CATALOGOS!$A$6:$A$14,0)),0))</f>
        <v>0</v>
      </c>
      <c r="Y79" s="21">
        <f t="array" ref="Y79">IF($D79="",0,IFERROR(INDEX(CATALOGOS!$E$6:$E$14,MATCH($D79,CATALOGOS!$A$6:$A$14,0)),0))</f>
        <v>0</v>
      </c>
      <c r="Z79" s="26" t="str">
        <f t="shared" si="3"/>
        <v/>
      </c>
    </row>
    <row r="80" ht="15.0" customHeight="1">
      <c r="A80" s="18" t="str">
        <f t="shared" si="1"/>
        <v/>
      </c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21" t="str">
        <f t="array" ref="Q80">IF($D80="","",IFERROR(INDEX(CATALOGOS!$B$6:$B$14,MATCH($D80,CATALOGOS!$A$6:$A$14,0)),0))</f>
        <v/>
      </c>
      <c r="R80" s="21">
        <f t="array" ref="R80">IF($E80="",0,IFERROR(INDEX(CATALOGOS!$B$19:$B$30,MATCH($E80,CATALOGOS!$A$19:$A$30,0)),0))</f>
        <v>0</v>
      </c>
      <c r="S80" s="21">
        <f t="array" ref="S80">IF($K80="",0,IFERROR(INDEX(CATALOGOS!$B$35:$B$42,MATCH($K80,CATALOGOS!$A$35:$A$42,0)),0))</f>
        <v>0</v>
      </c>
      <c r="T80" s="21">
        <f t="array" ref="T80">IF($J80="",0,IFERROR(INDEX(CATALOGOS!$B$47:$B$51,MATCH($J80,CATALOGOS!$A$47:$A$51,0)),0))</f>
        <v>0</v>
      </c>
      <c r="U80" s="21">
        <f t="array" ref="U80">IF($M80="",0,IFERROR(INDEX(CATALOGOS!$B$56:$B$62,MATCH($M80,CATALOGOS!$A$56:$A$62,0)),0))</f>
        <v>0</v>
      </c>
      <c r="V80" s="21" t="str">
        <f t="shared" si="2"/>
        <v/>
      </c>
      <c r="W80" s="21">
        <f t="array" ref="W80">IF($D80="",0,IFERROR(INDEX(CATALOGOS!$C$6:$C$14,MATCH($D80,CATALOGOS!$A$6:$A$14,0)),0))</f>
        <v>0</v>
      </c>
      <c r="X80" s="21">
        <f t="array" ref="X80">IF($D80="",0,IFERROR(INDEX(CATALOGOS!$D$6:$D$14,MATCH($D80,CATALOGOS!$A$6:$A$14,0)),0))</f>
        <v>0</v>
      </c>
      <c r="Y80" s="21">
        <f t="array" ref="Y80">IF($D80="",0,IFERROR(INDEX(CATALOGOS!$E$6:$E$14,MATCH($D80,CATALOGOS!$A$6:$A$14,0)),0))</f>
        <v>0</v>
      </c>
      <c r="Z80" s="26" t="str">
        <f t="shared" si="3"/>
        <v/>
      </c>
    </row>
    <row r="81" ht="15.0" customHeight="1">
      <c r="A81" s="18" t="str">
        <f t="shared" si="1"/>
        <v/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21" t="str">
        <f t="array" ref="Q81">IF($D81="","",IFERROR(INDEX(CATALOGOS!$B$6:$B$14,MATCH($D81,CATALOGOS!$A$6:$A$14,0)),0))</f>
        <v/>
      </c>
      <c r="R81" s="21">
        <f t="array" ref="R81">IF($E81="",0,IFERROR(INDEX(CATALOGOS!$B$19:$B$30,MATCH($E81,CATALOGOS!$A$19:$A$30,0)),0))</f>
        <v>0</v>
      </c>
      <c r="S81" s="21">
        <f t="array" ref="S81">IF($K81="",0,IFERROR(INDEX(CATALOGOS!$B$35:$B$42,MATCH($K81,CATALOGOS!$A$35:$A$42,0)),0))</f>
        <v>0</v>
      </c>
      <c r="T81" s="21">
        <f t="array" ref="T81">IF($J81="",0,IFERROR(INDEX(CATALOGOS!$B$47:$B$51,MATCH($J81,CATALOGOS!$A$47:$A$51,0)),0))</f>
        <v>0</v>
      </c>
      <c r="U81" s="21">
        <f t="array" ref="U81">IF($M81="",0,IFERROR(INDEX(CATALOGOS!$B$56:$B$62,MATCH($M81,CATALOGOS!$A$56:$A$62,0)),0))</f>
        <v>0</v>
      </c>
      <c r="V81" s="21" t="str">
        <f t="shared" si="2"/>
        <v/>
      </c>
      <c r="W81" s="21">
        <f t="array" ref="W81">IF($D81="",0,IFERROR(INDEX(CATALOGOS!$C$6:$C$14,MATCH($D81,CATALOGOS!$A$6:$A$14,0)),0))</f>
        <v>0</v>
      </c>
      <c r="X81" s="21">
        <f t="array" ref="X81">IF($D81="",0,IFERROR(INDEX(CATALOGOS!$D$6:$D$14,MATCH($D81,CATALOGOS!$A$6:$A$14,0)),0))</f>
        <v>0</v>
      </c>
      <c r="Y81" s="21">
        <f t="array" ref="Y81">IF($D81="",0,IFERROR(INDEX(CATALOGOS!$E$6:$E$14,MATCH($D81,CATALOGOS!$A$6:$A$14,0)),0))</f>
        <v>0</v>
      </c>
      <c r="Z81" s="26" t="str">
        <f t="shared" si="3"/>
        <v/>
      </c>
    </row>
    <row r="82" ht="15.0" customHeight="1">
      <c r="A82" s="18" t="str">
        <f t="shared" si="1"/>
        <v/>
      </c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21" t="str">
        <f t="array" ref="Q82">IF($D82="","",IFERROR(INDEX(CATALOGOS!$B$6:$B$14,MATCH($D82,CATALOGOS!$A$6:$A$14,0)),0))</f>
        <v/>
      </c>
      <c r="R82" s="21">
        <f t="array" ref="R82">IF($E82="",0,IFERROR(INDEX(CATALOGOS!$B$19:$B$30,MATCH($E82,CATALOGOS!$A$19:$A$30,0)),0))</f>
        <v>0</v>
      </c>
      <c r="S82" s="21">
        <f t="array" ref="S82">IF($K82="",0,IFERROR(INDEX(CATALOGOS!$B$35:$B$42,MATCH($K82,CATALOGOS!$A$35:$A$42,0)),0))</f>
        <v>0</v>
      </c>
      <c r="T82" s="21">
        <f t="array" ref="T82">IF($J82="",0,IFERROR(INDEX(CATALOGOS!$B$47:$B$51,MATCH($J82,CATALOGOS!$A$47:$A$51,0)),0))</f>
        <v>0</v>
      </c>
      <c r="U82" s="21">
        <f t="array" ref="U82">IF($M82="",0,IFERROR(INDEX(CATALOGOS!$B$56:$B$62,MATCH($M82,CATALOGOS!$A$56:$A$62,0)),0))</f>
        <v>0</v>
      </c>
      <c r="V82" s="21" t="str">
        <f t="shared" si="2"/>
        <v/>
      </c>
      <c r="W82" s="21">
        <f t="array" ref="W82">IF($D82="",0,IFERROR(INDEX(CATALOGOS!$C$6:$C$14,MATCH($D82,CATALOGOS!$A$6:$A$14,0)),0))</f>
        <v>0</v>
      </c>
      <c r="X82" s="21">
        <f t="array" ref="X82">IF($D82="",0,IFERROR(INDEX(CATALOGOS!$D$6:$D$14,MATCH($D82,CATALOGOS!$A$6:$A$14,0)),0))</f>
        <v>0</v>
      </c>
      <c r="Y82" s="21">
        <f t="array" ref="Y82">IF($D82="",0,IFERROR(INDEX(CATALOGOS!$E$6:$E$14,MATCH($D82,CATALOGOS!$A$6:$A$14,0)),0))</f>
        <v>0</v>
      </c>
      <c r="Z82" s="26" t="str">
        <f t="shared" si="3"/>
        <v/>
      </c>
    </row>
    <row r="83" ht="15.0" customHeight="1">
      <c r="A83" s="18" t="str">
        <f t="shared" si="1"/>
        <v/>
      </c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21" t="str">
        <f t="array" ref="Q83">IF($D83="","",IFERROR(INDEX(CATALOGOS!$B$6:$B$14,MATCH($D83,CATALOGOS!$A$6:$A$14,0)),0))</f>
        <v/>
      </c>
      <c r="R83" s="21">
        <f t="array" ref="R83">IF($E83="",0,IFERROR(INDEX(CATALOGOS!$B$19:$B$30,MATCH($E83,CATALOGOS!$A$19:$A$30,0)),0))</f>
        <v>0</v>
      </c>
      <c r="S83" s="21">
        <f t="array" ref="S83">IF($K83="",0,IFERROR(INDEX(CATALOGOS!$B$35:$B$42,MATCH($K83,CATALOGOS!$A$35:$A$42,0)),0))</f>
        <v>0</v>
      </c>
      <c r="T83" s="21">
        <f t="array" ref="T83">IF($J83="",0,IFERROR(INDEX(CATALOGOS!$B$47:$B$51,MATCH($J83,CATALOGOS!$A$47:$A$51,0)),0))</f>
        <v>0</v>
      </c>
      <c r="U83" s="21">
        <f t="array" ref="U83">IF($M83="",0,IFERROR(INDEX(CATALOGOS!$B$56:$B$62,MATCH($M83,CATALOGOS!$A$56:$A$62,0)),0))</f>
        <v>0</v>
      </c>
      <c r="V83" s="21" t="str">
        <f t="shared" si="2"/>
        <v/>
      </c>
      <c r="W83" s="21">
        <f t="array" ref="W83">IF($D83="",0,IFERROR(INDEX(CATALOGOS!$C$6:$C$14,MATCH($D83,CATALOGOS!$A$6:$A$14,0)),0))</f>
        <v>0</v>
      </c>
      <c r="X83" s="21">
        <f t="array" ref="X83">IF($D83="",0,IFERROR(INDEX(CATALOGOS!$D$6:$D$14,MATCH($D83,CATALOGOS!$A$6:$A$14,0)),0))</f>
        <v>0</v>
      </c>
      <c r="Y83" s="21">
        <f t="array" ref="Y83">IF($D83="",0,IFERROR(INDEX(CATALOGOS!$E$6:$E$14,MATCH($D83,CATALOGOS!$A$6:$A$14,0)),0))</f>
        <v>0</v>
      </c>
      <c r="Z83" s="26" t="str">
        <f t="shared" si="3"/>
        <v/>
      </c>
    </row>
    <row r="84" ht="15.0" customHeight="1">
      <c r="A84" s="18" t="str">
        <f t="shared" si="1"/>
        <v/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21" t="str">
        <f t="array" ref="Q84">IF($D84="","",IFERROR(INDEX(CATALOGOS!$B$6:$B$14,MATCH($D84,CATALOGOS!$A$6:$A$14,0)),0))</f>
        <v/>
      </c>
      <c r="R84" s="21">
        <f t="array" ref="R84">IF($E84="",0,IFERROR(INDEX(CATALOGOS!$B$19:$B$30,MATCH($E84,CATALOGOS!$A$19:$A$30,0)),0))</f>
        <v>0</v>
      </c>
      <c r="S84" s="21">
        <f t="array" ref="S84">IF($K84="",0,IFERROR(INDEX(CATALOGOS!$B$35:$B$42,MATCH($K84,CATALOGOS!$A$35:$A$42,0)),0))</f>
        <v>0</v>
      </c>
      <c r="T84" s="21">
        <f t="array" ref="T84">IF($J84="",0,IFERROR(INDEX(CATALOGOS!$B$47:$B$51,MATCH($J84,CATALOGOS!$A$47:$A$51,0)),0))</f>
        <v>0</v>
      </c>
      <c r="U84" s="21">
        <f t="array" ref="U84">IF($M84="",0,IFERROR(INDEX(CATALOGOS!$B$56:$B$62,MATCH($M84,CATALOGOS!$A$56:$A$62,0)),0))</f>
        <v>0</v>
      </c>
      <c r="V84" s="21" t="str">
        <f t="shared" si="2"/>
        <v/>
      </c>
      <c r="W84" s="21">
        <f t="array" ref="W84">IF($D84="",0,IFERROR(INDEX(CATALOGOS!$C$6:$C$14,MATCH($D84,CATALOGOS!$A$6:$A$14,0)),0))</f>
        <v>0</v>
      </c>
      <c r="X84" s="21">
        <f t="array" ref="X84">IF($D84="",0,IFERROR(INDEX(CATALOGOS!$D$6:$D$14,MATCH($D84,CATALOGOS!$A$6:$A$14,0)),0))</f>
        <v>0</v>
      </c>
      <c r="Y84" s="21">
        <f t="array" ref="Y84">IF($D84="",0,IFERROR(INDEX(CATALOGOS!$E$6:$E$14,MATCH($D84,CATALOGOS!$A$6:$A$14,0)),0))</f>
        <v>0</v>
      </c>
      <c r="Z84" s="26" t="str">
        <f t="shared" si="3"/>
        <v/>
      </c>
    </row>
    <row r="85" ht="15.0" customHeight="1">
      <c r="A85" s="18" t="str">
        <f t="shared" si="1"/>
        <v/>
      </c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21" t="str">
        <f t="array" ref="Q85">IF($D85="","",IFERROR(INDEX(CATALOGOS!$B$6:$B$14,MATCH($D85,CATALOGOS!$A$6:$A$14,0)),0))</f>
        <v/>
      </c>
      <c r="R85" s="21">
        <f t="array" ref="R85">IF($E85="",0,IFERROR(INDEX(CATALOGOS!$B$19:$B$30,MATCH($E85,CATALOGOS!$A$19:$A$30,0)),0))</f>
        <v>0</v>
      </c>
      <c r="S85" s="21">
        <f t="array" ref="S85">IF($K85="",0,IFERROR(INDEX(CATALOGOS!$B$35:$B$42,MATCH($K85,CATALOGOS!$A$35:$A$42,0)),0))</f>
        <v>0</v>
      </c>
      <c r="T85" s="21">
        <f t="array" ref="T85">IF($J85="",0,IFERROR(INDEX(CATALOGOS!$B$47:$B$51,MATCH($J85,CATALOGOS!$A$47:$A$51,0)),0))</f>
        <v>0</v>
      </c>
      <c r="U85" s="21">
        <f t="array" ref="U85">IF($M85="",0,IFERROR(INDEX(CATALOGOS!$B$56:$B$62,MATCH($M85,CATALOGOS!$A$56:$A$62,0)),0))</f>
        <v>0</v>
      </c>
      <c r="V85" s="21" t="str">
        <f t="shared" si="2"/>
        <v/>
      </c>
      <c r="W85" s="21">
        <f t="array" ref="W85">IF($D85="",0,IFERROR(INDEX(CATALOGOS!$C$6:$C$14,MATCH($D85,CATALOGOS!$A$6:$A$14,0)),0))</f>
        <v>0</v>
      </c>
      <c r="X85" s="21">
        <f t="array" ref="X85">IF($D85="",0,IFERROR(INDEX(CATALOGOS!$D$6:$D$14,MATCH($D85,CATALOGOS!$A$6:$A$14,0)),0))</f>
        <v>0</v>
      </c>
      <c r="Y85" s="21">
        <f t="array" ref="Y85">IF($D85="",0,IFERROR(INDEX(CATALOGOS!$E$6:$E$14,MATCH($D85,CATALOGOS!$A$6:$A$14,0)),0))</f>
        <v>0</v>
      </c>
      <c r="Z85" s="26" t="str">
        <f t="shared" si="3"/>
        <v/>
      </c>
    </row>
    <row r="86" ht="15.0" customHeight="1">
      <c r="A86" s="18" t="str">
        <f t="shared" si="1"/>
        <v/>
      </c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21" t="str">
        <f t="array" ref="Q86">IF($D86="","",IFERROR(INDEX(CATALOGOS!$B$6:$B$14,MATCH($D86,CATALOGOS!$A$6:$A$14,0)),0))</f>
        <v/>
      </c>
      <c r="R86" s="21">
        <f t="array" ref="R86">IF($E86="",0,IFERROR(INDEX(CATALOGOS!$B$19:$B$30,MATCH($E86,CATALOGOS!$A$19:$A$30,0)),0))</f>
        <v>0</v>
      </c>
      <c r="S86" s="21">
        <f t="array" ref="S86">IF($K86="",0,IFERROR(INDEX(CATALOGOS!$B$35:$B$42,MATCH($K86,CATALOGOS!$A$35:$A$42,0)),0))</f>
        <v>0</v>
      </c>
      <c r="T86" s="21">
        <f t="array" ref="T86">IF($J86="",0,IFERROR(INDEX(CATALOGOS!$B$47:$B$51,MATCH($J86,CATALOGOS!$A$47:$A$51,0)),0))</f>
        <v>0</v>
      </c>
      <c r="U86" s="21">
        <f t="array" ref="U86">IF($M86="",0,IFERROR(INDEX(CATALOGOS!$B$56:$B$62,MATCH($M86,CATALOGOS!$A$56:$A$62,0)),0))</f>
        <v>0</v>
      </c>
      <c r="V86" s="21" t="str">
        <f t="shared" si="2"/>
        <v/>
      </c>
      <c r="W86" s="21">
        <f t="array" ref="W86">IF($D86="",0,IFERROR(INDEX(CATALOGOS!$C$6:$C$14,MATCH($D86,CATALOGOS!$A$6:$A$14,0)),0))</f>
        <v>0</v>
      </c>
      <c r="X86" s="21">
        <f t="array" ref="X86">IF($D86="",0,IFERROR(INDEX(CATALOGOS!$D$6:$D$14,MATCH($D86,CATALOGOS!$A$6:$A$14,0)),0))</f>
        <v>0</v>
      </c>
      <c r="Y86" s="21">
        <f t="array" ref="Y86">IF($D86="",0,IFERROR(INDEX(CATALOGOS!$E$6:$E$14,MATCH($D86,CATALOGOS!$A$6:$A$14,0)),0))</f>
        <v>0</v>
      </c>
      <c r="Z86" s="26" t="str">
        <f t="shared" si="3"/>
        <v/>
      </c>
    </row>
    <row r="87" ht="15.0" customHeight="1">
      <c r="A87" s="18" t="str">
        <f t="shared" si="1"/>
        <v/>
      </c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21" t="str">
        <f t="array" ref="Q87">IF($D87="","",IFERROR(INDEX(CATALOGOS!$B$6:$B$14,MATCH($D87,CATALOGOS!$A$6:$A$14,0)),0))</f>
        <v/>
      </c>
      <c r="R87" s="21">
        <f t="array" ref="R87">IF($E87="",0,IFERROR(INDEX(CATALOGOS!$B$19:$B$30,MATCH($E87,CATALOGOS!$A$19:$A$30,0)),0))</f>
        <v>0</v>
      </c>
      <c r="S87" s="21">
        <f t="array" ref="S87">IF($K87="",0,IFERROR(INDEX(CATALOGOS!$B$35:$B$42,MATCH($K87,CATALOGOS!$A$35:$A$42,0)),0))</f>
        <v>0</v>
      </c>
      <c r="T87" s="21">
        <f t="array" ref="T87">IF($J87="",0,IFERROR(INDEX(CATALOGOS!$B$47:$B$51,MATCH($J87,CATALOGOS!$A$47:$A$51,0)),0))</f>
        <v>0</v>
      </c>
      <c r="U87" s="21">
        <f t="array" ref="U87">IF($M87="",0,IFERROR(INDEX(CATALOGOS!$B$56:$B$62,MATCH($M87,CATALOGOS!$A$56:$A$62,0)),0))</f>
        <v>0</v>
      </c>
      <c r="V87" s="21" t="str">
        <f t="shared" si="2"/>
        <v/>
      </c>
      <c r="W87" s="21">
        <f t="array" ref="W87">IF($D87="",0,IFERROR(INDEX(CATALOGOS!$C$6:$C$14,MATCH($D87,CATALOGOS!$A$6:$A$14,0)),0))</f>
        <v>0</v>
      </c>
      <c r="X87" s="21">
        <f t="array" ref="X87">IF($D87="",0,IFERROR(INDEX(CATALOGOS!$D$6:$D$14,MATCH($D87,CATALOGOS!$A$6:$A$14,0)),0))</f>
        <v>0</v>
      </c>
      <c r="Y87" s="21">
        <f t="array" ref="Y87">IF($D87="",0,IFERROR(INDEX(CATALOGOS!$E$6:$E$14,MATCH($D87,CATALOGOS!$A$6:$A$14,0)),0))</f>
        <v>0</v>
      </c>
      <c r="Z87" s="26" t="str">
        <f t="shared" si="3"/>
        <v/>
      </c>
    </row>
    <row r="88" ht="15.0" customHeight="1">
      <c r="A88" s="18" t="str">
        <f t="shared" si="1"/>
        <v/>
      </c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21" t="str">
        <f t="array" ref="Q88">IF($D88="","",IFERROR(INDEX(CATALOGOS!$B$6:$B$14,MATCH($D88,CATALOGOS!$A$6:$A$14,0)),0))</f>
        <v/>
      </c>
      <c r="R88" s="21">
        <f t="array" ref="R88">IF($E88="",0,IFERROR(INDEX(CATALOGOS!$B$19:$B$30,MATCH($E88,CATALOGOS!$A$19:$A$30,0)),0))</f>
        <v>0</v>
      </c>
      <c r="S88" s="21">
        <f t="array" ref="S88">IF($K88="",0,IFERROR(INDEX(CATALOGOS!$B$35:$B$42,MATCH($K88,CATALOGOS!$A$35:$A$42,0)),0))</f>
        <v>0</v>
      </c>
      <c r="T88" s="21">
        <f t="array" ref="T88">IF($J88="",0,IFERROR(INDEX(CATALOGOS!$B$47:$B$51,MATCH($J88,CATALOGOS!$A$47:$A$51,0)),0))</f>
        <v>0</v>
      </c>
      <c r="U88" s="21">
        <f t="array" ref="U88">IF($M88="",0,IFERROR(INDEX(CATALOGOS!$B$56:$B$62,MATCH($M88,CATALOGOS!$A$56:$A$62,0)),0))</f>
        <v>0</v>
      </c>
      <c r="V88" s="21" t="str">
        <f t="shared" si="2"/>
        <v/>
      </c>
      <c r="W88" s="21">
        <f t="array" ref="W88">IF($D88="",0,IFERROR(INDEX(CATALOGOS!$C$6:$C$14,MATCH($D88,CATALOGOS!$A$6:$A$14,0)),0))</f>
        <v>0</v>
      </c>
      <c r="X88" s="21">
        <f t="array" ref="X88">IF($D88="",0,IFERROR(INDEX(CATALOGOS!$D$6:$D$14,MATCH($D88,CATALOGOS!$A$6:$A$14,0)),0))</f>
        <v>0</v>
      </c>
      <c r="Y88" s="21">
        <f t="array" ref="Y88">IF($D88="",0,IFERROR(INDEX(CATALOGOS!$E$6:$E$14,MATCH($D88,CATALOGOS!$A$6:$A$14,0)),0))</f>
        <v>0</v>
      </c>
      <c r="Z88" s="26" t="str">
        <f t="shared" si="3"/>
        <v/>
      </c>
    </row>
    <row r="89" ht="15.0" customHeight="1">
      <c r="A89" s="18" t="str">
        <f t="shared" si="1"/>
        <v/>
      </c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21" t="str">
        <f t="array" ref="Q89">IF($D89="","",IFERROR(INDEX(CATALOGOS!$B$6:$B$14,MATCH($D89,CATALOGOS!$A$6:$A$14,0)),0))</f>
        <v/>
      </c>
      <c r="R89" s="21">
        <f t="array" ref="R89">IF($E89="",0,IFERROR(INDEX(CATALOGOS!$B$19:$B$30,MATCH($E89,CATALOGOS!$A$19:$A$30,0)),0))</f>
        <v>0</v>
      </c>
      <c r="S89" s="21">
        <f t="array" ref="S89">IF($K89="",0,IFERROR(INDEX(CATALOGOS!$B$35:$B$42,MATCH($K89,CATALOGOS!$A$35:$A$42,0)),0))</f>
        <v>0</v>
      </c>
      <c r="T89" s="21">
        <f t="array" ref="T89">IF($J89="",0,IFERROR(INDEX(CATALOGOS!$B$47:$B$51,MATCH($J89,CATALOGOS!$A$47:$A$51,0)),0))</f>
        <v>0</v>
      </c>
      <c r="U89" s="21">
        <f t="array" ref="U89">IF($M89="",0,IFERROR(INDEX(CATALOGOS!$B$56:$B$62,MATCH($M89,CATALOGOS!$A$56:$A$62,0)),0))</f>
        <v>0</v>
      </c>
      <c r="V89" s="21" t="str">
        <f t="shared" si="2"/>
        <v/>
      </c>
      <c r="W89" s="21">
        <f t="array" ref="W89">IF($D89="",0,IFERROR(INDEX(CATALOGOS!$C$6:$C$14,MATCH($D89,CATALOGOS!$A$6:$A$14,0)),0))</f>
        <v>0</v>
      </c>
      <c r="X89" s="21">
        <f t="array" ref="X89">IF($D89="",0,IFERROR(INDEX(CATALOGOS!$D$6:$D$14,MATCH($D89,CATALOGOS!$A$6:$A$14,0)),0))</f>
        <v>0</v>
      </c>
      <c r="Y89" s="21">
        <f t="array" ref="Y89">IF($D89="",0,IFERROR(INDEX(CATALOGOS!$E$6:$E$14,MATCH($D89,CATALOGOS!$A$6:$A$14,0)),0))</f>
        <v>0</v>
      </c>
      <c r="Z89" s="26" t="str">
        <f t="shared" si="3"/>
        <v/>
      </c>
    </row>
    <row r="90" ht="15.0" customHeight="1">
      <c r="A90" s="18" t="str">
        <f t="shared" si="1"/>
        <v/>
      </c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21" t="str">
        <f t="array" ref="Q90">IF($D90="","",IFERROR(INDEX(CATALOGOS!$B$6:$B$14,MATCH($D90,CATALOGOS!$A$6:$A$14,0)),0))</f>
        <v/>
      </c>
      <c r="R90" s="21">
        <f t="array" ref="R90">IF($E90="",0,IFERROR(INDEX(CATALOGOS!$B$19:$B$30,MATCH($E90,CATALOGOS!$A$19:$A$30,0)),0))</f>
        <v>0</v>
      </c>
      <c r="S90" s="21">
        <f t="array" ref="S90">IF($K90="",0,IFERROR(INDEX(CATALOGOS!$B$35:$B$42,MATCH($K90,CATALOGOS!$A$35:$A$42,0)),0))</f>
        <v>0</v>
      </c>
      <c r="T90" s="21">
        <f t="array" ref="T90">IF($J90="",0,IFERROR(INDEX(CATALOGOS!$B$47:$B$51,MATCH($J90,CATALOGOS!$A$47:$A$51,0)),0))</f>
        <v>0</v>
      </c>
      <c r="U90" s="21">
        <f t="array" ref="U90">IF($M90="",0,IFERROR(INDEX(CATALOGOS!$B$56:$B$62,MATCH($M90,CATALOGOS!$A$56:$A$62,0)),0))</f>
        <v>0</v>
      </c>
      <c r="V90" s="21" t="str">
        <f t="shared" si="2"/>
        <v/>
      </c>
      <c r="W90" s="21">
        <f t="array" ref="W90">IF($D90="",0,IFERROR(INDEX(CATALOGOS!$C$6:$C$14,MATCH($D90,CATALOGOS!$A$6:$A$14,0)),0))</f>
        <v>0</v>
      </c>
      <c r="X90" s="21">
        <f t="array" ref="X90">IF($D90="",0,IFERROR(INDEX(CATALOGOS!$D$6:$D$14,MATCH($D90,CATALOGOS!$A$6:$A$14,0)),0))</f>
        <v>0</v>
      </c>
      <c r="Y90" s="21">
        <f t="array" ref="Y90">IF($D90="",0,IFERROR(INDEX(CATALOGOS!$E$6:$E$14,MATCH($D90,CATALOGOS!$A$6:$A$14,0)),0))</f>
        <v>0</v>
      </c>
      <c r="Z90" s="26" t="str">
        <f t="shared" si="3"/>
        <v/>
      </c>
    </row>
    <row r="91" ht="15.0" customHeight="1">
      <c r="A91" s="18" t="str">
        <f t="shared" si="1"/>
        <v/>
      </c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21" t="str">
        <f t="array" ref="Q91">IF($D91="","",IFERROR(INDEX(CATALOGOS!$B$6:$B$14,MATCH($D91,CATALOGOS!$A$6:$A$14,0)),0))</f>
        <v/>
      </c>
      <c r="R91" s="21">
        <f t="array" ref="R91">IF($E91="",0,IFERROR(INDEX(CATALOGOS!$B$19:$B$30,MATCH($E91,CATALOGOS!$A$19:$A$30,0)),0))</f>
        <v>0</v>
      </c>
      <c r="S91" s="21">
        <f t="array" ref="S91">IF($K91="",0,IFERROR(INDEX(CATALOGOS!$B$35:$B$42,MATCH($K91,CATALOGOS!$A$35:$A$42,0)),0))</f>
        <v>0</v>
      </c>
      <c r="T91" s="21">
        <f t="array" ref="T91">IF($J91="",0,IFERROR(INDEX(CATALOGOS!$B$47:$B$51,MATCH($J91,CATALOGOS!$A$47:$A$51,0)),0))</f>
        <v>0</v>
      </c>
      <c r="U91" s="21">
        <f t="array" ref="U91">IF($M91="",0,IFERROR(INDEX(CATALOGOS!$B$56:$B$62,MATCH($M91,CATALOGOS!$A$56:$A$62,0)),0))</f>
        <v>0</v>
      </c>
      <c r="V91" s="21" t="str">
        <f t="shared" si="2"/>
        <v/>
      </c>
      <c r="W91" s="21">
        <f t="array" ref="W91">IF($D91="",0,IFERROR(INDEX(CATALOGOS!$C$6:$C$14,MATCH($D91,CATALOGOS!$A$6:$A$14,0)),0))</f>
        <v>0</v>
      </c>
      <c r="X91" s="21">
        <f t="array" ref="X91">IF($D91="",0,IFERROR(INDEX(CATALOGOS!$D$6:$D$14,MATCH($D91,CATALOGOS!$A$6:$A$14,0)),0))</f>
        <v>0</v>
      </c>
      <c r="Y91" s="21">
        <f t="array" ref="Y91">IF($D91="",0,IFERROR(INDEX(CATALOGOS!$E$6:$E$14,MATCH($D91,CATALOGOS!$A$6:$A$14,0)),0))</f>
        <v>0</v>
      </c>
      <c r="Z91" s="26" t="str">
        <f t="shared" si="3"/>
        <v/>
      </c>
    </row>
    <row r="92" ht="15.0" customHeight="1">
      <c r="A92" s="18" t="str">
        <f t="shared" si="1"/>
        <v/>
      </c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21" t="str">
        <f t="array" ref="Q92">IF($D92="","",IFERROR(INDEX(CATALOGOS!$B$6:$B$14,MATCH($D92,CATALOGOS!$A$6:$A$14,0)),0))</f>
        <v/>
      </c>
      <c r="R92" s="21">
        <f t="array" ref="R92">IF($E92="",0,IFERROR(INDEX(CATALOGOS!$B$19:$B$30,MATCH($E92,CATALOGOS!$A$19:$A$30,0)),0))</f>
        <v>0</v>
      </c>
      <c r="S92" s="21">
        <f t="array" ref="S92">IF($K92="",0,IFERROR(INDEX(CATALOGOS!$B$35:$B$42,MATCH($K92,CATALOGOS!$A$35:$A$42,0)),0))</f>
        <v>0</v>
      </c>
      <c r="T92" s="21">
        <f t="array" ref="T92">IF($J92="",0,IFERROR(INDEX(CATALOGOS!$B$47:$B$51,MATCH($J92,CATALOGOS!$A$47:$A$51,0)),0))</f>
        <v>0</v>
      </c>
      <c r="U92" s="21">
        <f t="array" ref="U92">IF($M92="",0,IFERROR(INDEX(CATALOGOS!$B$56:$B$62,MATCH($M92,CATALOGOS!$A$56:$A$62,0)),0))</f>
        <v>0</v>
      </c>
      <c r="V92" s="21" t="str">
        <f t="shared" si="2"/>
        <v/>
      </c>
      <c r="W92" s="21">
        <f t="array" ref="W92">IF($D92="",0,IFERROR(INDEX(CATALOGOS!$C$6:$C$14,MATCH($D92,CATALOGOS!$A$6:$A$14,0)),0))</f>
        <v>0</v>
      </c>
      <c r="X92" s="21">
        <f t="array" ref="X92">IF($D92="",0,IFERROR(INDEX(CATALOGOS!$D$6:$D$14,MATCH($D92,CATALOGOS!$A$6:$A$14,0)),0))</f>
        <v>0</v>
      </c>
      <c r="Y92" s="21">
        <f t="array" ref="Y92">IF($D92="",0,IFERROR(INDEX(CATALOGOS!$E$6:$E$14,MATCH($D92,CATALOGOS!$A$6:$A$14,0)),0))</f>
        <v>0</v>
      </c>
      <c r="Z92" s="26" t="str">
        <f t="shared" si="3"/>
        <v/>
      </c>
    </row>
    <row r="93" ht="15.0" customHeight="1">
      <c r="A93" s="18" t="str">
        <f t="shared" si="1"/>
        <v/>
      </c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21" t="str">
        <f t="array" ref="Q93">IF($D93="","",IFERROR(INDEX(CATALOGOS!$B$6:$B$14,MATCH($D93,CATALOGOS!$A$6:$A$14,0)),0))</f>
        <v/>
      </c>
      <c r="R93" s="21">
        <f t="array" ref="R93">IF($E93="",0,IFERROR(INDEX(CATALOGOS!$B$19:$B$30,MATCH($E93,CATALOGOS!$A$19:$A$30,0)),0))</f>
        <v>0</v>
      </c>
      <c r="S93" s="21">
        <f t="array" ref="S93">IF($K93="",0,IFERROR(INDEX(CATALOGOS!$B$35:$B$42,MATCH($K93,CATALOGOS!$A$35:$A$42,0)),0))</f>
        <v>0</v>
      </c>
      <c r="T93" s="21">
        <f t="array" ref="T93">IF($J93="",0,IFERROR(INDEX(CATALOGOS!$B$47:$B$51,MATCH($J93,CATALOGOS!$A$47:$A$51,0)),0))</f>
        <v>0</v>
      </c>
      <c r="U93" s="21">
        <f t="array" ref="U93">IF($M93="",0,IFERROR(INDEX(CATALOGOS!$B$56:$B$62,MATCH($M93,CATALOGOS!$A$56:$A$62,0)),0))</f>
        <v>0</v>
      </c>
      <c r="V93" s="21" t="str">
        <f t="shared" si="2"/>
        <v/>
      </c>
      <c r="W93" s="21">
        <f t="array" ref="W93">IF($D93="",0,IFERROR(INDEX(CATALOGOS!$C$6:$C$14,MATCH($D93,CATALOGOS!$A$6:$A$14,0)),0))</f>
        <v>0</v>
      </c>
      <c r="X93" s="21">
        <f t="array" ref="X93">IF($D93="",0,IFERROR(INDEX(CATALOGOS!$D$6:$D$14,MATCH($D93,CATALOGOS!$A$6:$A$14,0)),0))</f>
        <v>0</v>
      </c>
      <c r="Y93" s="21">
        <f t="array" ref="Y93">IF($D93="",0,IFERROR(INDEX(CATALOGOS!$E$6:$E$14,MATCH($D93,CATALOGOS!$A$6:$A$14,0)),0))</f>
        <v>0</v>
      </c>
      <c r="Z93" s="26" t="str">
        <f t="shared" si="3"/>
        <v/>
      </c>
    </row>
    <row r="94" ht="15.0" customHeight="1">
      <c r="A94" s="18" t="str">
        <f t="shared" si="1"/>
        <v/>
      </c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21" t="str">
        <f t="array" ref="Q94">IF($D94="","",IFERROR(INDEX(CATALOGOS!$B$6:$B$14,MATCH($D94,CATALOGOS!$A$6:$A$14,0)),0))</f>
        <v/>
      </c>
      <c r="R94" s="21">
        <f t="array" ref="R94">IF($E94="",0,IFERROR(INDEX(CATALOGOS!$B$19:$B$30,MATCH($E94,CATALOGOS!$A$19:$A$30,0)),0))</f>
        <v>0</v>
      </c>
      <c r="S94" s="21">
        <f t="array" ref="S94">IF($K94="",0,IFERROR(INDEX(CATALOGOS!$B$35:$B$42,MATCH($K94,CATALOGOS!$A$35:$A$42,0)),0))</f>
        <v>0</v>
      </c>
      <c r="T94" s="21">
        <f t="array" ref="T94">IF($J94="",0,IFERROR(INDEX(CATALOGOS!$B$47:$B$51,MATCH($J94,CATALOGOS!$A$47:$A$51,0)),0))</f>
        <v>0</v>
      </c>
      <c r="U94" s="21">
        <f t="array" ref="U94">IF($M94="",0,IFERROR(INDEX(CATALOGOS!$B$56:$B$62,MATCH($M94,CATALOGOS!$A$56:$A$62,0)),0))</f>
        <v>0</v>
      </c>
      <c r="V94" s="21" t="str">
        <f t="shared" si="2"/>
        <v/>
      </c>
      <c r="W94" s="21">
        <f t="array" ref="W94">IF($D94="",0,IFERROR(INDEX(CATALOGOS!$C$6:$C$14,MATCH($D94,CATALOGOS!$A$6:$A$14,0)),0))</f>
        <v>0</v>
      </c>
      <c r="X94" s="21">
        <f t="array" ref="X94">IF($D94="",0,IFERROR(INDEX(CATALOGOS!$D$6:$D$14,MATCH($D94,CATALOGOS!$A$6:$A$14,0)),0))</f>
        <v>0</v>
      </c>
      <c r="Y94" s="21">
        <f t="array" ref="Y94">IF($D94="",0,IFERROR(INDEX(CATALOGOS!$E$6:$E$14,MATCH($D94,CATALOGOS!$A$6:$A$14,0)),0))</f>
        <v>0</v>
      </c>
      <c r="Z94" s="26" t="str">
        <f t="shared" si="3"/>
        <v/>
      </c>
    </row>
    <row r="95" ht="15.0" customHeight="1">
      <c r="A95" s="18" t="str">
        <f t="shared" si="1"/>
        <v/>
      </c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21" t="str">
        <f t="array" ref="Q95">IF($D95="","",IFERROR(INDEX(CATALOGOS!$B$6:$B$14,MATCH($D95,CATALOGOS!$A$6:$A$14,0)),0))</f>
        <v/>
      </c>
      <c r="R95" s="21">
        <f t="array" ref="R95">IF($E95="",0,IFERROR(INDEX(CATALOGOS!$B$19:$B$30,MATCH($E95,CATALOGOS!$A$19:$A$30,0)),0))</f>
        <v>0</v>
      </c>
      <c r="S95" s="21">
        <f t="array" ref="S95">IF($K95="",0,IFERROR(INDEX(CATALOGOS!$B$35:$B$42,MATCH($K95,CATALOGOS!$A$35:$A$42,0)),0))</f>
        <v>0</v>
      </c>
      <c r="T95" s="21">
        <f t="array" ref="T95">IF($J95="",0,IFERROR(INDEX(CATALOGOS!$B$47:$B$51,MATCH($J95,CATALOGOS!$A$47:$A$51,0)),0))</f>
        <v>0</v>
      </c>
      <c r="U95" s="21">
        <f t="array" ref="U95">IF($M95="",0,IFERROR(INDEX(CATALOGOS!$B$56:$B$62,MATCH($M95,CATALOGOS!$A$56:$A$62,0)),0))</f>
        <v>0</v>
      </c>
      <c r="V95" s="21" t="str">
        <f t="shared" si="2"/>
        <v/>
      </c>
      <c r="W95" s="21">
        <f t="array" ref="W95">IF($D95="",0,IFERROR(INDEX(CATALOGOS!$C$6:$C$14,MATCH($D95,CATALOGOS!$A$6:$A$14,0)),0))</f>
        <v>0</v>
      </c>
      <c r="X95" s="21">
        <f t="array" ref="X95">IF($D95="",0,IFERROR(INDEX(CATALOGOS!$D$6:$D$14,MATCH($D95,CATALOGOS!$A$6:$A$14,0)),0))</f>
        <v>0</v>
      </c>
      <c r="Y95" s="21">
        <f t="array" ref="Y95">IF($D95="",0,IFERROR(INDEX(CATALOGOS!$E$6:$E$14,MATCH($D95,CATALOGOS!$A$6:$A$14,0)),0))</f>
        <v>0</v>
      </c>
      <c r="Z95" s="26" t="str">
        <f t="shared" si="3"/>
        <v/>
      </c>
    </row>
    <row r="96" ht="15.0" customHeight="1">
      <c r="A96" s="18" t="str">
        <f t="shared" si="1"/>
        <v/>
      </c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21" t="str">
        <f t="array" ref="Q96">IF($D96="","",IFERROR(INDEX(CATALOGOS!$B$6:$B$14,MATCH($D96,CATALOGOS!$A$6:$A$14,0)),0))</f>
        <v/>
      </c>
      <c r="R96" s="21">
        <f t="array" ref="R96">IF($E96="",0,IFERROR(INDEX(CATALOGOS!$B$19:$B$30,MATCH($E96,CATALOGOS!$A$19:$A$30,0)),0))</f>
        <v>0</v>
      </c>
      <c r="S96" s="21">
        <f t="array" ref="S96">IF($K96="",0,IFERROR(INDEX(CATALOGOS!$B$35:$B$42,MATCH($K96,CATALOGOS!$A$35:$A$42,0)),0))</f>
        <v>0</v>
      </c>
      <c r="T96" s="21">
        <f t="array" ref="T96">IF($J96="",0,IFERROR(INDEX(CATALOGOS!$B$47:$B$51,MATCH($J96,CATALOGOS!$A$47:$A$51,0)),0))</f>
        <v>0</v>
      </c>
      <c r="U96" s="21">
        <f t="array" ref="U96">IF($M96="",0,IFERROR(INDEX(CATALOGOS!$B$56:$B$62,MATCH($M96,CATALOGOS!$A$56:$A$62,0)),0))</f>
        <v>0</v>
      </c>
      <c r="V96" s="21" t="str">
        <f t="shared" si="2"/>
        <v/>
      </c>
      <c r="W96" s="21">
        <f t="array" ref="W96">IF($D96="",0,IFERROR(INDEX(CATALOGOS!$C$6:$C$14,MATCH($D96,CATALOGOS!$A$6:$A$14,0)),0))</f>
        <v>0</v>
      </c>
      <c r="X96" s="21">
        <f t="array" ref="X96">IF($D96="",0,IFERROR(INDEX(CATALOGOS!$D$6:$D$14,MATCH($D96,CATALOGOS!$A$6:$A$14,0)),0))</f>
        <v>0</v>
      </c>
      <c r="Y96" s="21">
        <f t="array" ref="Y96">IF($D96="",0,IFERROR(INDEX(CATALOGOS!$E$6:$E$14,MATCH($D96,CATALOGOS!$A$6:$A$14,0)),0))</f>
        <v>0</v>
      </c>
      <c r="Z96" s="26" t="str">
        <f t="shared" si="3"/>
        <v/>
      </c>
    </row>
    <row r="97" ht="15.0" customHeight="1">
      <c r="A97" s="18" t="str">
        <f t="shared" si="1"/>
        <v/>
      </c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21" t="str">
        <f t="array" ref="Q97">IF($D97="","",IFERROR(INDEX(CATALOGOS!$B$6:$B$14,MATCH($D97,CATALOGOS!$A$6:$A$14,0)),0))</f>
        <v/>
      </c>
      <c r="R97" s="21">
        <f t="array" ref="R97">IF($E97="",0,IFERROR(INDEX(CATALOGOS!$B$19:$B$30,MATCH($E97,CATALOGOS!$A$19:$A$30,0)),0))</f>
        <v>0</v>
      </c>
      <c r="S97" s="21">
        <f t="array" ref="S97">IF($K97="",0,IFERROR(INDEX(CATALOGOS!$B$35:$B$42,MATCH($K97,CATALOGOS!$A$35:$A$42,0)),0))</f>
        <v>0</v>
      </c>
      <c r="T97" s="21">
        <f t="array" ref="T97">IF($J97="",0,IFERROR(INDEX(CATALOGOS!$B$47:$B$51,MATCH($J97,CATALOGOS!$A$47:$A$51,0)),0))</f>
        <v>0</v>
      </c>
      <c r="U97" s="21">
        <f t="array" ref="U97">IF($M97="",0,IFERROR(INDEX(CATALOGOS!$B$56:$B$62,MATCH($M97,CATALOGOS!$A$56:$A$62,0)),0))</f>
        <v>0</v>
      </c>
      <c r="V97" s="21" t="str">
        <f t="shared" si="2"/>
        <v/>
      </c>
      <c r="W97" s="21">
        <f t="array" ref="W97">IF($D97="",0,IFERROR(INDEX(CATALOGOS!$C$6:$C$14,MATCH($D97,CATALOGOS!$A$6:$A$14,0)),0))</f>
        <v>0</v>
      </c>
      <c r="X97" s="21">
        <f t="array" ref="X97">IF($D97="",0,IFERROR(INDEX(CATALOGOS!$D$6:$D$14,MATCH($D97,CATALOGOS!$A$6:$A$14,0)),0))</f>
        <v>0</v>
      </c>
      <c r="Y97" s="21">
        <f t="array" ref="Y97">IF($D97="",0,IFERROR(INDEX(CATALOGOS!$E$6:$E$14,MATCH($D97,CATALOGOS!$A$6:$A$14,0)),0))</f>
        <v>0</v>
      </c>
      <c r="Z97" s="26" t="str">
        <f t="shared" si="3"/>
        <v/>
      </c>
    </row>
    <row r="98" ht="15.0" customHeight="1">
      <c r="A98" s="18" t="str">
        <f t="shared" si="1"/>
        <v/>
      </c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21" t="str">
        <f t="array" ref="Q98">IF($D98="","",IFERROR(INDEX(CATALOGOS!$B$6:$B$14,MATCH($D98,CATALOGOS!$A$6:$A$14,0)),0))</f>
        <v/>
      </c>
      <c r="R98" s="21">
        <f t="array" ref="R98">IF($E98="",0,IFERROR(INDEX(CATALOGOS!$B$19:$B$30,MATCH($E98,CATALOGOS!$A$19:$A$30,0)),0))</f>
        <v>0</v>
      </c>
      <c r="S98" s="21">
        <f t="array" ref="S98">IF($K98="",0,IFERROR(INDEX(CATALOGOS!$B$35:$B$42,MATCH($K98,CATALOGOS!$A$35:$A$42,0)),0))</f>
        <v>0</v>
      </c>
      <c r="T98" s="21">
        <f t="array" ref="T98">IF($J98="",0,IFERROR(INDEX(CATALOGOS!$B$47:$B$51,MATCH($J98,CATALOGOS!$A$47:$A$51,0)),0))</f>
        <v>0</v>
      </c>
      <c r="U98" s="21">
        <f t="array" ref="U98">IF($M98="",0,IFERROR(INDEX(CATALOGOS!$B$56:$B$62,MATCH($M98,CATALOGOS!$A$56:$A$62,0)),0))</f>
        <v>0</v>
      </c>
      <c r="V98" s="21" t="str">
        <f t="shared" si="2"/>
        <v/>
      </c>
      <c r="W98" s="21">
        <f t="array" ref="W98">IF($D98="",0,IFERROR(INDEX(CATALOGOS!$C$6:$C$14,MATCH($D98,CATALOGOS!$A$6:$A$14,0)),0))</f>
        <v>0</v>
      </c>
      <c r="X98" s="21">
        <f t="array" ref="X98">IF($D98="",0,IFERROR(INDEX(CATALOGOS!$D$6:$D$14,MATCH($D98,CATALOGOS!$A$6:$A$14,0)),0))</f>
        <v>0</v>
      </c>
      <c r="Y98" s="21">
        <f t="array" ref="Y98">IF($D98="",0,IFERROR(INDEX(CATALOGOS!$E$6:$E$14,MATCH($D98,CATALOGOS!$A$6:$A$14,0)),0))</f>
        <v>0</v>
      </c>
      <c r="Z98" s="26" t="str">
        <f t="shared" si="3"/>
        <v/>
      </c>
    </row>
    <row r="99" ht="15.0" customHeight="1">
      <c r="A99" s="18" t="str">
        <f t="shared" si="1"/>
        <v/>
      </c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21" t="str">
        <f t="array" ref="Q99">IF($D99="","",IFERROR(INDEX(CATALOGOS!$B$6:$B$14,MATCH($D99,CATALOGOS!$A$6:$A$14,0)),0))</f>
        <v/>
      </c>
      <c r="R99" s="21">
        <f t="array" ref="R99">IF($E99="",0,IFERROR(INDEX(CATALOGOS!$B$19:$B$30,MATCH($E99,CATALOGOS!$A$19:$A$30,0)),0))</f>
        <v>0</v>
      </c>
      <c r="S99" s="21">
        <f t="array" ref="S99">IF($K99="",0,IFERROR(INDEX(CATALOGOS!$B$35:$B$42,MATCH($K99,CATALOGOS!$A$35:$A$42,0)),0))</f>
        <v>0</v>
      </c>
      <c r="T99" s="21">
        <f t="array" ref="T99">IF($J99="",0,IFERROR(INDEX(CATALOGOS!$B$47:$B$51,MATCH($J99,CATALOGOS!$A$47:$A$51,0)),0))</f>
        <v>0</v>
      </c>
      <c r="U99" s="21">
        <f t="array" ref="U99">IF($M99="",0,IFERROR(INDEX(CATALOGOS!$B$56:$B$62,MATCH($M99,CATALOGOS!$A$56:$A$62,0)),0))</f>
        <v>0</v>
      </c>
      <c r="V99" s="21" t="str">
        <f t="shared" si="2"/>
        <v/>
      </c>
      <c r="W99" s="21">
        <f t="array" ref="W99">IF($D99="",0,IFERROR(INDEX(CATALOGOS!$C$6:$C$14,MATCH($D99,CATALOGOS!$A$6:$A$14,0)),0))</f>
        <v>0</v>
      </c>
      <c r="X99" s="21">
        <f t="array" ref="X99">IF($D99="",0,IFERROR(INDEX(CATALOGOS!$D$6:$D$14,MATCH($D99,CATALOGOS!$A$6:$A$14,0)),0))</f>
        <v>0</v>
      </c>
      <c r="Y99" s="21">
        <f t="array" ref="Y99">IF($D99="",0,IFERROR(INDEX(CATALOGOS!$E$6:$E$14,MATCH($D99,CATALOGOS!$A$6:$A$14,0)),0))</f>
        <v>0</v>
      </c>
      <c r="Z99" s="26" t="str">
        <f t="shared" si="3"/>
        <v/>
      </c>
    </row>
    <row r="100" ht="15.0" customHeight="1">
      <c r="A100" s="18" t="str">
        <f t="shared" si="1"/>
        <v/>
      </c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21" t="str">
        <f t="array" ref="Q100">IF($D100="","",IFERROR(INDEX(CATALOGOS!$B$6:$B$14,MATCH($D100,CATALOGOS!$A$6:$A$14,0)),0))</f>
        <v/>
      </c>
      <c r="R100" s="21">
        <f t="array" ref="R100">IF($E100="",0,IFERROR(INDEX(CATALOGOS!$B$19:$B$30,MATCH($E100,CATALOGOS!$A$19:$A$30,0)),0))</f>
        <v>0</v>
      </c>
      <c r="S100" s="21">
        <f t="array" ref="S100">IF($K100="",0,IFERROR(INDEX(CATALOGOS!$B$35:$B$42,MATCH($K100,CATALOGOS!$A$35:$A$42,0)),0))</f>
        <v>0</v>
      </c>
      <c r="T100" s="21">
        <f t="array" ref="T100">IF($J100="",0,IFERROR(INDEX(CATALOGOS!$B$47:$B$51,MATCH($J100,CATALOGOS!$A$47:$A$51,0)),0))</f>
        <v>0</v>
      </c>
      <c r="U100" s="21">
        <f t="array" ref="U100">IF($M100="",0,IFERROR(INDEX(CATALOGOS!$B$56:$B$62,MATCH($M100,CATALOGOS!$A$56:$A$62,0)),0))</f>
        <v>0</v>
      </c>
      <c r="V100" s="21" t="str">
        <f t="shared" si="2"/>
        <v/>
      </c>
      <c r="W100" s="21">
        <f t="array" ref="W100">IF($D100="",0,IFERROR(INDEX(CATALOGOS!$C$6:$C$14,MATCH($D100,CATALOGOS!$A$6:$A$14,0)),0))</f>
        <v>0</v>
      </c>
      <c r="X100" s="21">
        <f t="array" ref="X100">IF($D100="",0,IFERROR(INDEX(CATALOGOS!$D$6:$D$14,MATCH($D100,CATALOGOS!$A$6:$A$14,0)),0))</f>
        <v>0</v>
      </c>
      <c r="Y100" s="21">
        <f t="array" ref="Y100">IF($D100="",0,IFERROR(INDEX(CATALOGOS!$E$6:$E$14,MATCH($D100,CATALOGOS!$A$6:$A$14,0)),0))</f>
        <v>0</v>
      </c>
      <c r="Z100" s="26" t="str">
        <f t="shared" si="3"/>
        <v/>
      </c>
    </row>
    <row r="101" ht="15.0" customHeight="1">
      <c r="A101" s="18" t="str">
        <f t="shared" si="1"/>
        <v/>
      </c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21" t="str">
        <f t="array" ref="Q101">IF($D101="","",IFERROR(INDEX(CATALOGOS!$B$6:$B$14,MATCH($D101,CATALOGOS!$A$6:$A$14,0)),0))</f>
        <v/>
      </c>
      <c r="R101" s="21">
        <f t="array" ref="R101">IF($E101="",0,IFERROR(INDEX(CATALOGOS!$B$19:$B$30,MATCH($E101,CATALOGOS!$A$19:$A$30,0)),0))</f>
        <v>0</v>
      </c>
      <c r="S101" s="21">
        <f t="array" ref="S101">IF($K101="",0,IFERROR(INDEX(CATALOGOS!$B$35:$B$42,MATCH($K101,CATALOGOS!$A$35:$A$42,0)),0))</f>
        <v>0</v>
      </c>
      <c r="T101" s="21">
        <f t="array" ref="T101">IF($J101="",0,IFERROR(INDEX(CATALOGOS!$B$47:$B$51,MATCH($J101,CATALOGOS!$A$47:$A$51,0)),0))</f>
        <v>0</v>
      </c>
      <c r="U101" s="21">
        <f t="array" ref="U101">IF($M101="",0,IFERROR(INDEX(CATALOGOS!$B$56:$B$62,MATCH($M101,CATALOGOS!$A$56:$A$62,0)),0))</f>
        <v>0</v>
      </c>
      <c r="V101" s="21" t="str">
        <f t="shared" si="2"/>
        <v/>
      </c>
      <c r="W101" s="21">
        <f t="array" ref="W101">IF($D101="",0,IFERROR(INDEX(CATALOGOS!$C$6:$C$14,MATCH($D101,CATALOGOS!$A$6:$A$14,0)),0))</f>
        <v>0</v>
      </c>
      <c r="X101" s="21">
        <f t="array" ref="X101">IF($D101="",0,IFERROR(INDEX(CATALOGOS!$D$6:$D$14,MATCH($D101,CATALOGOS!$A$6:$A$14,0)),0))</f>
        <v>0</v>
      </c>
      <c r="Y101" s="21">
        <f t="array" ref="Y101">IF($D101="",0,IFERROR(INDEX(CATALOGOS!$E$6:$E$14,MATCH($D101,CATALOGOS!$A$6:$A$14,0)),0))</f>
        <v>0</v>
      </c>
      <c r="Z101" s="26" t="str">
        <f t="shared" si="3"/>
        <v/>
      </c>
    </row>
    <row r="102" ht="15.0" customHeight="1">
      <c r="A102" s="18" t="str">
        <f t="shared" si="1"/>
        <v/>
      </c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21" t="str">
        <f t="array" ref="Q102">IF($D102="","",IFERROR(INDEX(CATALOGOS!$B$6:$B$14,MATCH($D102,CATALOGOS!$A$6:$A$14,0)),0))</f>
        <v/>
      </c>
      <c r="R102" s="21">
        <f t="array" ref="R102">IF($E102="",0,IFERROR(INDEX(CATALOGOS!$B$19:$B$30,MATCH($E102,CATALOGOS!$A$19:$A$30,0)),0))</f>
        <v>0</v>
      </c>
      <c r="S102" s="21">
        <f t="array" ref="S102">IF($K102="",0,IFERROR(INDEX(CATALOGOS!$B$35:$B$42,MATCH($K102,CATALOGOS!$A$35:$A$42,0)),0))</f>
        <v>0</v>
      </c>
      <c r="T102" s="21">
        <f t="array" ref="T102">IF($J102="",0,IFERROR(INDEX(CATALOGOS!$B$47:$B$51,MATCH($J102,CATALOGOS!$A$47:$A$51,0)),0))</f>
        <v>0</v>
      </c>
      <c r="U102" s="21">
        <f t="array" ref="U102">IF($M102="",0,IFERROR(INDEX(CATALOGOS!$B$56:$B$62,MATCH($M102,CATALOGOS!$A$56:$A$62,0)),0))</f>
        <v>0</v>
      </c>
      <c r="V102" s="21" t="str">
        <f t="shared" si="2"/>
        <v/>
      </c>
      <c r="W102" s="21">
        <f t="array" ref="W102">IF($D102="",0,IFERROR(INDEX(CATALOGOS!$C$6:$C$14,MATCH($D102,CATALOGOS!$A$6:$A$14,0)),0))</f>
        <v>0</v>
      </c>
      <c r="X102" s="21">
        <f t="array" ref="X102">IF($D102="",0,IFERROR(INDEX(CATALOGOS!$D$6:$D$14,MATCH($D102,CATALOGOS!$A$6:$A$14,0)),0))</f>
        <v>0</v>
      </c>
      <c r="Y102" s="21">
        <f t="array" ref="Y102">IF($D102="",0,IFERROR(INDEX(CATALOGOS!$E$6:$E$14,MATCH($D102,CATALOGOS!$A$6:$A$14,0)),0))</f>
        <v>0</v>
      </c>
      <c r="Z102" s="26" t="str">
        <f t="shared" si="3"/>
        <v/>
      </c>
    </row>
    <row r="103" ht="15.0" customHeight="1">
      <c r="A103" s="18" t="str">
        <f t="shared" si="1"/>
        <v/>
      </c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21" t="str">
        <f t="array" ref="Q103">IF($D103="","",IFERROR(INDEX(CATALOGOS!$B$6:$B$14,MATCH($D103,CATALOGOS!$A$6:$A$14,0)),0))</f>
        <v/>
      </c>
      <c r="R103" s="21">
        <f t="array" ref="R103">IF($E103="",0,IFERROR(INDEX(CATALOGOS!$B$19:$B$30,MATCH($E103,CATALOGOS!$A$19:$A$30,0)),0))</f>
        <v>0</v>
      </c>
      <c r="S103" s="21">
        <f t="array" ref="S103">IF($K103="",0,IFERROR(INDEX(CATALOGOS!$B$35:$B$42,MATCH($K103,CATALOGOS!$A$35:$A$42,0)),0))</f>
        <v>0</v>
      </c>
      <c r="T103" s="21">
        <f t="array" ref="T103">IF($J103="",0,IFERROR(INDEX(CATALOGOS!$B$47:$B$51,MATCH($J103,CATALOGOS!$A$47:$A$51,0)),0))</f>
        <v>0</v>
      </c>
      <c r="U103" s="21">
        <f t="array" ref="U103">IF($M103="",0,IFERROR(INDEX(CATALOGOS!$B$56:$B$62,MATCH($M103,CATALOGOS!$A$56:$A$62,0)),0))</f>
        <v>0</v>
      </c>
      <c r="V103" s="21" t="str">
        <f t="shared" si="2"/>
        <v/>
      </c>
      <c r="W103" s="21">
        <f t="array" ref="W103">IF($D103="",0,IFERROR(INDEX(CATALOGOS!$C$6:$C$14,MATCH($D103,CATALOGOS!$A$6:$A$14,0)),0))</f>
        <v>0</v>
      </c>
      <c r="X103" s="21">
        <f t="array" ref="X103">IF($D103="",0,IFERROR(INDEX(CATALOGOS!$D$6:$D$14,MATCH($D103,CATALOGOS!$A$6:$A$14,0)),0))</f>
        <v>0</v>
      </c>
      <c r="Y103" s="21">
        <f t="array" ref="Y103">IF($D103="",0,IFERROR(INDEX(CATALOGOS!$E$6:$E$14,MATCH($D103,CATALOGOS!$A$6:$A$14,0)),0))</f>
        <v>0</v>
      </c>
      <c r="Z103" s="26" t="str">
        <f t="shared" si="3"/>
        <v/>
      </c>
    </row>
    <row r="104" ht="15.0" customHeight="1">
      <c r="A104" s="18" t="str">
        <f t="shared" si="1"/>
        <v/>
      </c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21" t="str">
        <f t="array" ref="Q104">IF($D104="","",IFERROR(INDEX(CATALOGOS!$B$6:$B$14,MATCH($D104,CATALOGOS!$A$6:$A$14,0)),0))</f>
        <v/>
      </c>
      <c r="R104" s="21">
        <f t="array" ref="R104">IF($E104="",0,IFERROR(INDEX(CATALOGOS!$B$19:$B$30,MATCH($E104,CATALOGOS!$A$19:$A$30,0)),0))</f>
        <v>0</v>
      </c>
      <c r="S104" s="21">
        <f t="array" ref="S104">IF($K104="",0,IFERROR(INDEX(CATALOGOS!$B$35:$B$42,MATCH($K104,CATALOGOS!$A$35:$A$42,0)),0))</f>
        <v>0</v>
      </c>
      <c r="T104" s="21">
        <f t="array" ref="T104">IF($J104="",0,IFERROR(INDEX(CATALOGOS!$B$47:$B$51,MATCH($J104,CATALOGOS!$A$47:$A$51,0)),0))</f>
        <v>0</v>
      </c>
      <c r="U104" s="21">
        <f t="array" ref="U104">IF($M104="",0,IFERROR(INDEX(CATALOGOS!$B$56:$B$62,MATCH($M104,CATALOGOS!$A$56:$A$62,0)),0))</f>
        <v>0</v>
      </c>
      <c r="V104" s="21" t="str">
        <f t="shared" si="2"/>
        <v/>
      </c>
      <c r="W104" s="21">
        <f t="array" ref="W104">IF($D104="",0,IFERROR(INDEX(CATALOGOS!$C$6:$C$14,MATCH($D104,CATALOGOS!$A$6:$A$14,0)),0))</f>
        <v>0</v>
      </c>
      <c r="X104" s="21">
        <f t="array" ref="X104">IF($D104="",0,IFERROR(INDEX(CATALOGOS!$D$6:$D$14,MATCH($D104,CATALOGOS!$A$6:$A$14,0)),0))</f>
        <v>0</v>
      </c>
      <c r="Y104" s="21">
        <f t="array" ref="Y104">IF($D104="",0,IFERROR(INDEX(CATALOGOS!$E$6:$E$14,MATCH($D104,CATALOGOS!$A$6:$A$14,0)),0))</f>
        <v>0</v>
      </c>
      <c r="Z104" s="26" t="str">
        <f t="shared" si="3"/>
        <v/>
      </c>
    </row>
    <row r="105" ht="15.0" customHeight="1">
      <c r="A105" s="18" t="str">
        <f t="shared" si="1"/>
        <v/>
      </c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21" t="str">
        <f t="array" ref="Q105">IF($D105="","",IFERROR(INDEX(CATALOGOS!$B$6:$B$14,MATCH($D105,CATALOGOS!$A$6:$A$14,0)),0))</f>
        <v/>
      </c>
      <c r="R105" s="21">
        <f t="array" ref="R105">IF($E105="",0,IFERROR(INDEX(CATALOGOS!$B$19:$B$30,MATCH($E105,CATALOGOS!$A$19:$A$30,0)),0))</f>
        <v>0</v>
      </c>
      <c r="S105" s="21">
        <f t="array" ref="S105">IF($K105="",0,IFERROR(INDEX(CATALOGOS!$B$35:$B$42,MATCH($K105,CATALOGOS!$A$35:$A$42,0)),0))</f>
        <v>0</v>
      </c>
      <c r="T105" s="21">
        <f t="array" ref="T105">IF($J105="",0,IFERROR(INDEX(CATALOGOS!$B$47:$B$51,MATCH($J105,CATALOGOS!$A$47:$A$51,0)),0))</f>
        <v>0</v>
      </c>
      <c r="U105" s="21">
        <f t="array" ref="U105">IF($M105="",0,IFERROR(INDEX(CATALOGOS!$B$56:$B$62,MATCH($M105,CATALOGOS!$A$56:$A$62,0)),0))</f>
        <v>0</v>
      </c>
      <c r="V105" s="21" t="str">
        <f t="shared" si="2"/>
        <v/>
      </c>
      <c r="W105" s="21">
        <f t="array" ref="W105">IF($D105="",0,IFERROR(INDEX(CATALOGOS!$C$6:$C$14,MATCH($D105,CATALOGOS!$A$6:$A$14,0)),0))</f>
        <v>0</v>
      </c>
      <c r="X105" s="21">
        <f t="array" ref="X105">IF($D105="",0,IFERROR(INDEX(CATALOGOS!$D$6:$D$14,MATCH($D105,CATALOGOS!$A$6:$A$14,0)),0))</f>
        <v>0</v>
      </c>
      <c r="Y105" s="21">
        <f t="array" ref="Y105">IF($D105="",0,IFERROR(INDEX(CATALOGOS!$E$6:$E$14,MATCH($D105,CATALOGOS!$A$6:$A$14,0)),0))</f>
        <v>0</v>
      </c>
      <c r="Z105" s="26" t="str">
        <f t="shared" si="3"/>
        <v/>
      </c>
    </row>
    <row r="106" ht="15.0" customHeight="1">
      <c r="A106" s="18" t="str">
        <f t="shared" si="1"/>
        <v/>
      </c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21" t="str">
        <f t="array" ref="Q106">IF($D106="","",IFERROR(INDEX(CATALOGOS!$B$6:$B$14,MATCH($D106,CATALOGOS!$A$6:$A$14,0)),0))</f>
        <v/>
      </c>
      <c r="R106" s="21">
        <f t="array" ref="R106">IF($E106="",0,IFERROR(INDEX(CATALOGOS!$B$19:$B$30,MATCH($E106,CATALOGOS!$A$19:$A$30,0)),0))</f>
        <v>0</v>
      </c>
      <c r="S106" s="21">
        <f t="array" ref="S106">IF($K106="",0,IFERROR(INDEX(CATALOGOS!$B$35:$B$42,MATCH($K106,CATALOGOS!$A$35:$A$42,0)),0))</f>
        <v>0</v>
      </c>
      <c r="T106" s="21">
        <f t="array" ref="T106">IF($J106="",0,IFERROR(INDEX(CATALOGOS!$B$47:$B$51,MATCH($J106,CATALOGOS!$A$47:$A$51,0)),0))</f>
        <v>0</v>
      </c>
      <c r="U106" s="21">
        <f t="array" ref="U106">IF($M106="",0,IFERROR(INDEX(CATALOGOS!$B$56:$B$62,MATCH($M106,CATALOGOS!$A$56:$A$62,0)),0))</f>
        <v>0</v>
      </c>
      <c r="V106" s="21" t="str">
        <f t="shared" si="2"/>
        <v/>
      </c>
      <c r="W106" s="21">
        <f t="array" ref="W106">IF($D106="",0,IFERROR(INDEX(CATALOGOS!$C$6:$C$14,MATCH($D106,CATALOGOS!$A$6:$A$14,0)),0))</f>
        <v>0</v>
      </c>
      <c r="X106" s="21">
        <f t="array" ref="X106">IF($D106="",0,IFERROR(INDEX(CATALOGOS!$D$6:$D$14,MATCH($D106,CATALOGOS!$A$6:$A$14,0)),0))</f>
        <v>0</v>
      </c>
      <c r="Y106" s="21">
        <f t="array" ref="Y106">IF($D106="",0,IFERROR(INDEX(CATALOGOS!$E$6:$E$14,MATCH($D106,CATALOGOS!$A$6:$A$14,0)),0))</f>
        <v>0</v>
      </c>
      <c r="Z106" s="26" t="str">
        <f t="shared" si="3"/>
        <v/>
      </c>
    </row>
    <row r="107" ht="15.0" customHeight="1">
      <c r="A107" s="18" t="str">
        <f t="shared" si="1"/>
        <v/>
      </c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21" t="str">
        <f t="array" ref="Q107">IF($D107="","",IFERROR(INDEX(CATALOGOS!$B$6:$B$14,MATCH($D107,CATALOGOS!$A$6:$A$14,0)),0))</f>
        <v/>
      </c>
      <c r="R107" s="21">
        <f t="array" ref="R107">IF($E107="",0,IFERROR(INDEX(CATALOGOS!$B$19:$B$30,MATCH($E107,CATALOGOS!$A$19:$A$30,0)),0))</f>
        <v>0</v>
      </c>
      <c r="S107" s="21">
        <f t="array" ref="S107">IF($K107="",0,IFERROR(INDEX(CATALOGOS!$B$35:$B$42,MATCH($K107,CATALOGOS!$A$35:$A$42,0)),0))</f>
        <v>0</v>
      </c>
      <c r="T107" s="21">
        <f t="array" ref="T107">IF($J107="",0,IFERROR(INDEX(CATALOGOS!$B$47:$B$51,MATCH($J107,CATALOGOS!$A$47:$A$51,0)),0))</f>
        <v>0</v>
      </c>
      <c r="U107" s="21">
        <f t="array" ref="U107">IF($M107="",0,IFERROR(INDEX(CATALOGOS!$B$56:$B$62,MATCH($M107,CATALOGOS!$A$56:$A$62,0)),0))</f>
        <v>0</v>
      </c>
      <c r="V107" s="21" t="str">
        <f t="shared" si="2"/>
        <v/>
      </c>
      <c r="W107" s="21">
        <f t="array" ref="W107">IF($D107="",0,IFERROR(INDEX(CATALOGOS!$C$6:$C$14,MATCH($D107,CATALOGOS!$A$6:$A$14,0)),0))</f>
        <v>0</v>
      </c>
      <c r="X107" s="21">
        <f t="array" ref="X107">IF($D107="",0,IFERROR(INDEX(CATALOGOS!$D$6:$D$14,MATCH($D107,CATALOGOS!$A$6:$A$14,0)),0))</f>
        <v>0</v>
      </c>
      <c r="Y107" s="21">
        <f t="array" ref="Y107">IF($D107="",0,IFERROR(INDEX(CATALOGOS!$E$6:$E$14,MATCH($D107,CATALOGOS!$A$6:$A$14,0)),0))</f>
        <v>0</v>
      </c>
      <c r="Z107" s="26" t="str">
        <f t="shared" si="3"/>
        <v/>
      </c>
    </row>
    <row r="108" ht="15.0" customHeight="1">
      <c r="A108" s="18" t="str">
        <f t="shared" si="1"/>
        <v/>
      </c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21" t="str">
        <f t="array" ref="Q108">IF($D108="","",IFERROR(INDEX(CATALOGOS!$B$6:$B$14,MATCH($D108,CATALOGOS!$A$6:$A$14,0)),0))</f>
        <v/>
      </c>
      <c r="R108" s="21">
        <f t="array" ref="R108">IF($E108="",0,IFERROR(INDEX(CATALOGOS!$B$19:$B$30,MATCH($E108,CATALOGOS!$A$19:$A$30,0)),0))</f>
        <v>0</v>
      </c>
      <c r="S108" s="21">
        <f t="array" ref="S108">IF($K108="",0,IFERROR(INDEX(CATALOGOS!$B$35:$B$42,MATCH($K108,CATALOGOS!$A$35:$A$42,0)),0))</f>
        <v>0</v>
      </c>
      <c r="T108" s="21">
        <f t="array" ref="T108">IF($J108="",0,IFERROR(INDEX(CATALOGOS!$B$47:$B$51,MATCH($J108,CATALOGOS!$A$47:$A$51,0)),0))</f>
        <v>0</v>
      </c>
      <c r="U108" s="21">
        <f t="array" ref="U108">IF($M108="",0,IFERROR(INDEX(CATALOGOS!$B$56:$B$62,MATCH($M108,CATALOGOS!$A$56:$A$62,0)),0))</f>
        <v>0</v>
      </c>
      <c r="V108" s="21" t="str">
        <f t="shared" si="2"/>
        <v/>
      </c>
      <c r="W108" s="21">
        <f t="array" ref="W108">IF($D108="",0,IFERROR(INDEX(CATALOGOS!$C$6:$C$14,MATCH($D108,CATALOGOS!$A$6:$A$14,0)),0))</f>
        <v>0</v>
      </c>
      <c r="X108" s="21">
        <f t="array" ref="X108">IF($D108="",0,IFERROR(INDEX(CATALOGOS!$D$6:$D$14,MATCH($D108,CATALOGOS!$A$6:$A$14,0)),0))</f>
        <v>0</v>
      </c>
      <c r="Y108" s="21">
        <f t="array" ref="Y108">IF($D108="",0,IFERROR(INDEX(CATALOGOS!$E$6:$E$14,MATCH($D108,CATALOGOS!$A$6:$A$14,0)),0))</f>
        <v>0</v>
      </c>
      <c r="Z108" s="26" t="str">
        <f t="shared" si="3"/>
        <v/>
      </c>
    </row>
    <row r="109" ht="15.0" customHeight="1">
      <c r="A109" s="18" t="str">
        <f t="shared" si="1"/>
        <v/>
      </c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21" t="str">
        <f t="array" ref="Q109">IF($D109="","",IFERROR(INDEX(CATALOGOS!$B$6:$B$14,MATCH($D109,CATALOGOS!$A$6:$A$14,0)),0))</f>
        <v/>
      </c>
      <c r="R109" s="21">
        <f t="array" ref="R109">IF($E109="",0,IFERROR(INDEX(CATALOGOS!$B$19:$B$30,MATCH($E109,CATALOGOS!$A$19:$A$30,0)),0))</f>
        <v>0</v>
      </c>
      <c r="S109" s="21">
        <f t="array" ref="S109">IF($K109="",0,IFERROR(INDEX(CATALOGOS!$B$35:$B$42,MATCH($K109,CATALOGOS!$A$35:$A$42,0)),0))</f>
        <v>0</v>
      </c>
      <c r="T109" s="21">
        <f t="array" ref="T109">IF($J109="",0,IFERROR(INDEX(CATALOGOS!$B$47:$B$51,MATCH($J109,CATALOGOS!$A$47:$A$51,0)),0))</f>
        <v>0</v>
      </c>
      <c r="U109" s="21">
        <f t="array" ref="U109">IF($M109="",0,IFERROR(INDEX(CATALOGOS!$B$56:$B$62,MATCH($M109,CATALOGOS!$A$56:$A$62,0)),0))</f>
        <v>0</v>
      </c>
      <c r="V109" s="21" t="str">
        <f t="shared" si="2"/>
        <v/>
      </c>
      <c r="W109" s="21">
        <f t="array" ref="W109">IF($D109="",0,IFERROR(INDEX(CATALOGOS!$C$6:$C$14,MATCH($D109,CATALOGOS!$A$6:$A$14,0)),0))</f>
        <v>0</v>
      </c>
      <c r="X109" s="21">
        <f t="array" ref="X109">IF($D109="",0,IFERROR(INDEX(CATALOGOS!$D$6:$D$14,MATCH($D109,CATALOGOS!$A$6:$A$14,0)),0))</f>
        <v>0</v>
      </c>
      <c r="Y109" s="21">
        <f t="array" ref="Y109">IF($D109="",0,IFERROR(INDEX(CATALOGOS!$E$6:$E$14,MATCH($D109,CATALOGOS!$A$6:$A$14,0)),0))</f>
        <v>0</v>
      </c>
      <c r="Z109" s="26" t="str">
        <f t="shared" si="3"/>
        <v/>
      </c>
    </row>
    <row r="110" ht="15.0" customHeight="1">
      <c r="A110" s="18" t="str">
        <f t="shared" si="1"/>
        <v/>
      </c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21" t="str">
        <f t="array" ref="Q110">IF($D110="","",IFERROR(INDEX(CATALOGOS!$B$6:$B$14,MATCH($D110,CATALOGOS!$A$6:$A$14,0)),0))</f>
        <v/>
      </c>
      <c r="R110" s="21">
        <f t="array" ref="R110">IF($E110="",0,IFERROR(INDEX(CATALOGOS!$B$19:$B$30,MATCH($E110,CATALOGOS!$A$19:$A$30,0)),0))</f>
        <v>0</v>
      </c>
      <c r="S110" s="21">
        <f t="array" ref="S110">IF($K110="",0,IFERROR(INDEX(CATALOGOS!$B$35:$B$42,MATCH($K110,CATALOGOS!$A$35:$A$42,0)),0))</f>
        <v>0</v>
      </c>
      <c r="T110" s="21">
        <f t="array" ref="T110">IF($J110="",0,IFERROR(INDEX(CATALOGOS!$B$47:$B$51,MATCH($J110,CATALOGOS!$A$47:$A$51,0)),0))</f>
        <v>0</v>
      </c>
      <c r="U110" s="21">
        <f t="array" ref="U110">IF($M110="",0,IFERROR(INDEX(CATALOGOS!$B$56:$B$62,MATCH($M110,CATALOGOS!$A$56:$A$62,0)),0))</f>
        <v>0</v>
      </c>
      <c r="V110" s="21" t="str">
        <f t="shared" si="2"/>
        <v/>
      </c>
      <c r="W110" s="21">
        <f t="array" ref="W110">IF($D110="",0,IFERROR(INDEX(CATALOGOS!$C$6:$C$14,MATCH($D110,CATALOGOS!$A$6:$A$14,0)),0))</f>
        <v>0</v>
      </c>
      <c r="X110" s="21">
        <f t="array" ref="X110">IF($D110="",0,IFERROR(INDEX(CATALOGOS!$D$6:$D$14,MATCH($D110,CATALOGOS!$A$6:$A$14,0)),0))</f>
        <v>0</v>
      </c>
      <c r="Y110" s="21">
        <f t="array" ref="Y110">IF($D110="",0,IFERROR(INDEX(CATALOGOS!$E$6:$E$14,MATCH($D110,CATALOGOS!$A$6:$A$14,0)),0))</f>
        <v>0</v>
      </c>
      <c r="Z110" s="26" t="str">
        <f t="shared" si="3"/>
        <v/>
      </c>
    </row>
    <row r="111" ht="15.0" customHeight="1">
      <c r="A111" s="18" t="str">
        <f t="shared" si="1"/>
        <v/>
      </c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21" t="str">
        <f t="array" ref="Q111">IF($D111="","",IFERROR(INDEX(CATALOGOS!$B$6:$B$14,MATCH($D111,CATALOGOS!$A$6:$A$14,0)),0))</f>
        <v/>
      </c>
      <c r="R111" s="21">
        <f t="array" ref="R111">IF($E111="",0,IFERROR(INDEX(CATALOGOS!$B$19:$B$30,MATCH($E111,CATALOGOS!$A$19:$A$30,0)),0))</f>
        <v>0</v>
      </c>
      <c r="S111" s="21">
        <f t="array" ref="S111">IF($K111="",0,IFERROR(INDEX(CATALOGOS!$B$35:$B$42,MATCH($K111,CATALOGOS!$A$35:$A$42,0)),0))</f>
        <v>0</v>
      </c>
      <c r="T111" s="21">
        <f t="array" ref="T111">IF($J111="",0,IFERROR(INDEX(CATALOGOS!$B$47:$B$51,MATCH($J111,CATALOGOS!$A$47:$A$51,0)),0))</f>
        <v>0</v>
      </c>
      <c r="U111" s="21">
        <f t="array" ref="U111">IF($M111="",0,IFERROR(INDEX(CATALOGOS!$B$56:$B$62,MATCH($M111,CATALOGOS!$A$56:$A$62,0)),0))</f>
        <v>0</v>
      </c>
      <c r="V111" s="21" t="str">
        <f t="shared" si="2"/>
        <v/>
      </c>
      <c r="W111" s="21">
        <f t="array" ref="W111">IF($D111="",0,IFERROR(INDEX(CATALOGOS!$C$6:$C$14,MATCH($D111,CATALOGOS!$A$6:$A$14,0)),0))</f>
        <v>0</v>
      </c>
      <c r="X111" s="21">
        <f t="array" ref="X111">IF($D111="",0,IFERROR(INDEX(CATALOGOS!$D$6:$D$14,MATCH($D111,CATALOGOS!$A$6:$A$14,0)),0))</f>
        <v>0</v>
      </c>
      <c r="Y111" s="21">
        <f t="array" ref="Y111">IF($D111="",0,IFERROR(INDEX(CATALOGOS!$E$6:$E$14,MATCH($D111,CATALOGOS!$A$6:$A$14,0)),0))</f>
        <v>0</v>
      </c>
      <c r="Z111" s="26" t="str">
        <f t="shared" si="3"/>
        <v/>
      </c>
    </row>
    <row r="112" ht="15.0" customHeight="1">
      <c r="A112" s="18" t="str">
        <f t="shared" si="1"/>
        <v/>
      </c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21" t="str">
        <f t="array" ref="Q112">IF($D112="","",IFERROR(INDEX(CATALOGOS!$B$6:$B$14,MATCH($D112,CATALOGOS!$A$6:$A$14,0)),0))</f>
        <v/>
      </c>
      <c r="R112" s="21">
        <f t="array" ref="R112">IF($E112="",0,IFERROR(INDEX(CATALOGOS!$B$19:$B$30,MATCH($E112,CATALOGOS!$A$19:$A$30,0)),0))</f>
        <v>0</v>
      </c>
      <c r="S112" s="21">
        <f t="array" ref="S112">IF($K112="",0,IFERROR(INDEX(CATALOGOS!$B$35:$B$42,MATCH($K112,CATALOGOS!$A$35:$A$42,0)),0))</f>
        <v>0</v>
      </c>
      <c r="T112" s="21">
        <f t="array" ref="T112">IF($J112="",0,IFERROR(INDEX(CATALOGOS!$B$47:$B$51,MATCH($J112,CATALOGOS!$A$47:$A$51,0)),0))</f>
        <v>0</v>
      </c>
      <c r="U112" s="21">
        <f t="array" ref="U112">IF($M112="",0,IFERROR(INDEX(CATALOGOS!$B$56:$B$62,MATCH($M112,CATALOGOS!$A$56:$A$62,0)),0))</f>
        <v>0</v>
      </c>
      <c r="V112" s="21" t="str">
        <f t="shared" si="2"/>
        <v/>
      </c>
      <c r="W112" s="21">
        <f t="array" ref="W112">IF($D112="",0,IFERROR(INDEX(CATALOGOS!$C$6:$C$14,MATCH($D112,CATALOGOS!$A$6:$A$14,0)),0))</f>
        <v>0</v>
      </c>
      <c r="X112" s="21">
        <f t="array" ref="X112">IF($D112="",0,IFERROR(INDEX(CATALOGOS!$D$6:$D$14,MATCH($D112,CATALOGOS!$A$6:$A$14,0)),0))</f>
        <v>0</v>
      </c>
      <c r="Y112" s="21">
        <f t="array" ref="Y112">IF($D112="",0,IFERROR(INDEX(CATALOGOS!$E$6:$E$14,MATCH($D112,CATALOGOS!$A$6:$A$14,0)),0))</f>
        <v>0</v>
      </c>
      <c r="Z112" s="26" t="str">
        <f t="shared" si="3"/>
        <v/>
      </c>
    </row>
    <row r="113" ht="15.0" customHeight="1">
      <c r="A113" s="18" t="str">
        <f t="shared" si="1"/>
        <v/>
      </c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21" t="str">
        <f t="array" ref="Q113">IF($D113="","",IFERROR(INDEX(CATALOGOS!$B$6:$B$14,MATCH($D113,CATALOGOS!$A$6:$A$14,0)),0))</f>
        <v/>
      </c>
      <c r="R113" s="21">
        <f t="array" ref="R113">IF($E113="",0,IFERROR(INDEX(CATALOGOS!$B$19:$B$30,MATCH($E113,CATALOGOS!$A$19:$A$30,0)),0))</f>
        <v>0</v>
      </c>
      <c r="S113" s="21">
        <f t="array" ref="S113">IF($K113="",0,IFERROR(INDEX(CATALOGOS!$B$35:$B$42,MATCH($K113,CATALOGOS!$A$35:$A$42,0)),0))</f>
        <v>0</v>
      </c>
      <c r="T113" s="21">
        <f t="array" ref="T113">IF($J113="",0,IFERROR(INDEX(CATALOGOS!$B$47:$B$51,MATCH($J113,CATALOGOS!$A$47:$A$51,0)),0))</f>
        <v>0</v>
      </c>
      <c r="U113" s="21">
        <f t="array" ref="U113">IF($M113="",0,IFERROR(INDEX(CATALOGOS!$B$56:$B$62,MATCH($M113,CATALOGOS!$A$56:$A$62,0)),0))</f>
        <v>0</v>
      </c>
      <c r="V113" s="21" t="str">
        <f t="shared" si="2"/>
        <v/>
      </c>
      <c r="W113" s="21">
        <f t="array" ref="W113">IF($D113="",0,IFERROR(INDEX(CATALOGOS!$C$6:$C$14,MATCH($D113,CATALOGOS!$A$6:$A$14,0)),0))</f>
        <v>0</v>
      </c>
      <c r="X113" s="21">
        <f t="array" ref="X113">IF($D113="",0,IFERROR(INDEX(CATALOGOS!$D$6:$D$14,MATCH($D113,CATALOGOS!$A$6:$A$14,0)),0))</f>
        <v>0</v>
      </c>
      <c r="Y113" s="21">
        <f t="array" ref="Y113">IF($D113="",0,IFERROR(INDEX(CATALOGOS!$E$6:$E$14,MATCH($D113,CATALOGOS!$A$6:$A$14,0)),0))</f>
        <v>0</v>
      </c>
      <c r="Z113" s="26" t="str">
        <f t="shared" si="3"/>
        <v/>
      </c>
    </row>
    <row r="114" ht="15.0" customHeight="1">
      <c r="A114" s="18" t="str">
        <f t="shared" si="1"/>
        <v/>
      </c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21" t="str">
        <f t="array" ref="Q114">IF($D114="","",IFERROR(INDEX(CATALOGOS!$B$6:$B$14,MATCH($D114,CATALOGOS!$A$6:$A$14,0)),0))</f>
        <v/>
      </c>
      <c r="R114" s="21">
        <f t="array" ref="R114">IF($E114="",0,IFERROR(INDEX(CATALOGOS!$B$19:$B$30,MATCH($E114,CATALOGOS!$A$19:$A$30,0)),0))</f>
        <v>0</v>
      </c>
      <c r="S114" s="21">
        <f t="array" ref="S114">IF($K114="",0,IFERROR(INDEX(CATALOGOS!$B$35:$B$42,MATCH($K114,CATALOGOS!$A$35:$A$42,0)),0))</f>
        <v>0</v>
      </c>
      <c r="T114" s="21">
        <f t="array" ref="T114">IF($J114="",0,IFERROR(INDEX(CATALOGOS!$B$47:$B$51,MATCH($J114,CATALOGOS!$A$47:$A$51,0)),0))</f>
        <v>0</v>
      </c>
      <c r="U114" s="21">
        <f t="array" ref="U114">IF($M114="",0,IFERROR(INDEX(CATALOGOS!$B$56:$B$62,MATCH($M114,CATALOGOS!$A$56:$A$62,0)),0))</f>
        <v>0</v>
      </c>
      <c r="V114" s="21" t="str">
        <f t="shared" si="2"/>
        <v/>
      </c>
      <c r="W114" s="21">
        <f t="array" ref="W114">IF($D114="",0,IFERROR(INDEX(CATALOGOS!$C$6:$C$14,MATCH($D114,CATALOGOS!$A$6:$A$14,0)),0))</f>
        <v>0</v>
      </c>
      <c r="X114" s="21">
        <f t="array" ref="X114">IF($D114="",0,IFERROR(INDEX(CATALOGOS!$D$6:$D$14,MATCH($D114,CATALOGOS!$A$6:$A$14,0)),0))</f>
        <v>0</v>
      </c>
      <c r="Y114" s="21">
        <f t="array" ref="Y114">IF($D114="",0,IFERROR(INDEX(CATALOGOS!$E$6:$E$14,MATCH($D114,CATALOGOS!$A$6:$A$14,0)),0))</f>
        <v>0</v>
      </c>
      <c r="Z114" s="26" t="str">
        <f t="shared" si="3"/>
        <v/>
      </c>
    </row>
    <row r="115" ht="15.0" customHeight="1">
      <c r="A115" s="18" t="str">
        <f t="shared" si="1"/>
        <v/>
      </c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21" t="str">
        <f t="array" ref="Q115">IF($D115="","",IFERROR(INDEX(CATALOGOS!$B$6:$B$14,MATCH($D115,CATALOGOS!$A$6:$A$14,0)),0))</f>
        <v/>
      </c>
      <c r="R115" s="21">
        <f t="array" ref="R115">IF($E115="",0,IFERROR(INDEX(CATALOGOS!$B$19:$B$30,MATCH($E115,CATALOGOS!$A$19:$A$30,0)),0))</f>
        <v>0</v>
      </c>
      <c r="S115" s="21">
        <f t="array" ref="S115">IF($K115="",0,IFERROR(INDEX(CATALOGOS!$B$35:$B$42,MATCH($K115,CATALOGOS!$A$35:$A$42,0)),0))</f>
        <v>0</v>
      </c>
      <c r="T115" s="21">
        <f t="array" ref="T115">IF($J115="",0,IFERROR(INDEX(CATALOGOS!$B$47:$B$51,MATCH($J115,CATALOGOS!$A$47:$A$51,0)),0))</f>
        <v>0</v>
      </c>
      <c r="U115" s="21">
        <f t="array" ref="U115">IF($M115="",0,IFERROR(INDEX(CATALOGOS!$B$56:$B$62,MATCH($M115,CATALOGOS!$A$56:$A$62,0)),0))</f>
        <v>0</v>
      </c>
      <c r="V115" s="21" t="str">
        <f t="shared" si="2"/>
        <v/>
      </c>
      <c r="W115" s="21">
        <f t="array" ref="W115">IF($D115="",0,IFERROR(INDEX(CATALOGOS!$C$6:$C$14,MATCH($D115,CATALOGOS!$A$6:$A$14,0)),0))</f>
        <v>0</v>
      </c>
      <c r="X115" s="21">
        <f t="array" ref="X115">IF($D115="",0,IFERROR(INDEX(CATALOGOS!$D$6:$D$14,MATCH($D115,CATALOGOS!$A$6:$A$14,0)),0))</f>
        <v>0</v>
      </c>
      <c r="Y115" s="21">
        <f t="array" ref="Y115">IF($D115="",0,IFERROR(INDEX(CATALOGOS!$E$6:$E$14,MATCH($D115,CATALOGOS!$A$6:$A$14,0)),0))</f>
        <v>0</v>
      </c>
      <c r="Z115" s="26" t="str">
        <f t="shared" si="3"/>
        <v/>
      </c>
    </row>
    <row r="116" ht="15.0" customHeight="1">
      <c r="A116" s="18" t="str">
        <f t="shared" si="1"/>
        <v/>
      </c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21" t="str">
        <f t="array" ref="Q116">IF($D116="","",IFERROR(INDEX(CATALOGOS!$B$6:$B$14,MATCH($D116,CATALOGOS!$A$6:$A$14,0)),0))</f>
        <v/>
      </c>
      <c r="R116" s="21">
        <f t="array" ref="R116">IF($E116="",0,IFERROR(INDEX(CATALOGOS!$B$19:$B$30,MATCH($E116,CATALOGOS!$A$19:$A$30,0)),0))</f>
        <v>0</v>
      </c>
      <c r="S116" s="21">
        <f t="array" ref="S116">IF($K116="",0,IFERROR(INDEX(CATALOGOS!$B$35:$B$42,MATCH($K116,CATALOGOS!$A$35:$A$42,0)),0))</f>
        <v>0</v>
      </c>
      <c r="T116" s="21">
        <f t="array" ref="T116">IF($J116="",0,IFERROR(INDEX(CATALOGOS!$B$47:$B$51,MATCH($J116,CATALOGOS!$A$47:$A$51,0)),0))</f>
        <v>0</v>
      </c>
      <c r="U116" s="21">
        <f t="array" ref="U116">IF($M116="",0,IFERROR(INDEX(CATALOGOS!$B$56:$B$62,MATCH($M116,CATALOGOS!$A$56:$A$62,0)),0))</f>
        <v>0</v>
      </c>
      <c r="V116" s="21" t="str">
        <f t="shared" si="2"/>
        <v/>
      </c>
      <c r="W116" s="21">
        <f t="array" ref="W116">IF($D116="",0,IFERROR(INDEX(CATALOGOS!$C$6:$C$14,MATCH($D116,CATALOGOS!$A$6:$A$14,0)),0))</f>
        <v>0</v>
      </c>
      <c r="X116" s="21">
        <f t="array" ref="X116">IF($D116="",0,IFERROR(INDEX(CATALOGOS!$D$6:$D$14,MATCH($D116,CATALOGOS!$A$6:$A$14,0)),0))</f>
        <v>0</v>
      </c>
      <c r="Y116" s="21">
        <f t="array" ref="Y116">IF($D116="",0,IFERROR(INDEX(CATALOGOS!$E$6:$E$14,MATCH($D116,CATALOGOS!$A$6:$A$14,0)),0))</f>
        <v>0</v>
      </c>
      <c r="Z116" s="26" t="str">
        <f t="shared" si="3"/>
        <v/>
      </c>
    </row>
    <row r="117" ht="15.0" customHeight="1">
      <c r="A117" s="18" t="str">
        <f t="shared" si="1"/>
        <v/>
      </c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21" t="str">
        <f t="array" ref="Q117">IF($D117="","",IFERROR(INDEX(CATALOGOS!$B$6:$B$14,MATCH($D117,CATALOGOS!$A$6:$A$14,0)),0))</f>
        <v/>
      </c>
      <c r="R117" s="21">
        <f t="array" ref="R117">IF($E117="",0,IFERROR(INDEX(CATALOGOS!$B$19:$B$30,MATCH($E117,CATALOGOS!$A$19:$A$30,0)),0))</f>
        <v>0</v>
      </c>
      <c r="S117" s="21">
        <f t="array" ref="S117">IF($K117="",0,IFERROR(INDEX(CATALOGOS!$B$35:$B$42,MATCH($K117,CATALOGOS!$A$35:$A$42,0)),0))</f>
        <v>0</v>
      </c>
      <c r="T117" s="21">
        <f t="array" ref="T117">IF($J117="",0,IFERROR(INDEX(CATALOGOS!$B$47:$B$51,MATCH($J117,CATALOGOS!$A$47:$A$51,0)),0))</f>
        <v>0</v>
      </c>
      <c r="U117" s="21">
        <f t="array" ref="U117">IF($M117="",0,IFERROR(INDEX(CATALOGOS!$B$56:$B$62,MATCH($M117,CATALOGOS!$A$56:$A$62,0)),0))</f>
        <v>0</v>
      </c>
      <c r="V117" s="21" t="str">
        <f t="shared" si="2"/>
        <v/>
      </c>
      <c r="W117" s="21">
        <f t="array" ref="W117">IF($D117="",0,IFERROR(INDEX(CATALOGOS!$C$6:$C$14,MATCH($D117,CATALOGOS!$A$6:$A$14,0)),0))</f>
        <v>0</v>
      </c>
      <c r="X117" s="21">
        <f t="array" ref="X117">IF($D117="",0,IFERROR(INDEX(CATALOGOS!$D$6:$D$14,MATCH($D117,CATALOGOS!$A$6:$A$14,0)),0))</f>
        <v>0</v>
      </c>
      <c r="Y117" s="21">
        <f t="array" ref="Y117">IF($D117="",0,IFERROR(INDEX(CATALOGOS!$E$6:$E$14,MATCH($D117,CATALOGOS!$A$6:$A$14,0)),0))</f>
        <v>0</v>
      </c>
      <c r="Z117" s="26" t="str">
        <f t="shared" si="3"/>
        <v/>
      </c>
    </row>
    <row r="118" ht="15.0" customHeight="1">
      <c r="A118" s="18" t="str">
        <f t="shared" si="1"/>
        <v/>
      </c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21" t="str">
        <f t="array" ref="Q118">IF($D118="","",IFERROR(INDEX(CATALOGOS!$B$6:$B$14,MATCH($D118,CATALOGOS!$A$6:$A$14,0)),0))</f>
        <v/>
      </c>
      <c r="R118" s="21">
        <f t="array" ref="R118">IF($E118="",0,IFERROR(INDEX(CATALOGOS!$B$19:$B$30,MATCH($E118,CATALOGOS!$A$19:$A$30,0)),0))</f>
        <v>0</v>
      </c>
      <c r="S118" s="21">
        <f t="array" ref="S118">IF($K118="",0,IFERROR(INDEX(CATALOGOS!$B$35:$B$42,MATCH($K118,CATALOGOS!$A$35:$A$42,0)),0))</f>
        <v>0</v>
      </c>
      <c r="T118" s="21">
        <f t="array" ref="T118">IF($J118="",0,IFERROR(INDEX(CATALOGOS!$B$47:$B$51,MATCH($J118,CATALOGOS!$A$47:$A$51,0)),0))</f>
        <v>0</v>
      </c>
      <c r="U118" s="21">
        <f t="array" ref="U118">IF($M118="",0,IFERROR(INDEX(CATALOGOS!$B$56:$B$62,MATCH($M118,CATALOGOS!$A$56:$A$62,0)),0))</f>
        <v>0</v>
      </c>
      <c r="V118" s="21" t="str">
        <f t="shared" si="2"/>
        <v/>
      </c>
      <c r="W118" s="21">
        <f t="array" ref="W118">IF($D118="",0,IFERROR(INDEX(CATALOGOS!$C$6:$C$14,MATCH($D118,CATALOGOS!$A$6:$A$14,0)),0))</f>
        <v>0</v>
      </c>
      <c r="X118" s="21">
        <f t="array" ref="X118">IF($D118="",0,IFERROR(INDEX(CATALOGOS!$D$6:$D$14,MATCH($D118,CATALOGOS!$A$6:$A$14,0)),0))</f>
        <v>0</v>
      </c>
      <c r="Y118" s="21">
        <f t="array" ref="Y118">IF($D118="",0,IFERROR(INDEX(CATALOGOS!$E$6:$E$14,MATCH($D118,CATALOGOS!$A$6:$A$14,0)),0))</f>
        <v>0</v>
      </c>
      <c r="Z118" s="26" t="str">
        <f t="shared" si="3"/>
        <v/>
      </c>
    </row>
    <row r="119" ht="15.0" customHeight="1">
      <c r="A119" s="18" t="str">
        <f t="shared" si="1"/>
        <v/>
      </c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21" t="str">
        <f t="array" ref="Q119">IF($D119="","",IFERROR(INDEX(CATALOGOS!$B$6:$B$14,MATCH($D119,CATALOGOS!$A$6:$A$14,0)),0))</f>
        <v/>
      </c>
      <c r="R119" s="21">
        <f t="array" ref="R119">IF($E119="",0,IFERROR(INDEX(CATALOGOS!$B$19:$B$30,MATCH($E119,CATALOGOS!$A$19:$A$30,0)),0))</f>
        <v>0</v>
      </c>
      <c r="S119" s="21">
        <f t="array" ref="S119">IF($K119="",0,IFERROR(INDEX(CATALOGOS!$B$35:$B$42,MATCH($K119,CATALOGOS!$A$35:$A$42,0)),0))</f>
        <v>0</v>
      </c>
      <c r="T119" s="21">
        <f t="array" ref="T119">IF($J119="",0,IFERROR(INDEX(CATALOGOS!$B$47:$B$51,MATCH($J119,CATALOGOS!$A$47:$A$51,0)),0))</f>
        <v>0</v>
      </c>
      <c r="U119" s="21">
        <f t="array" ref="U119">IF($M119="",0,IFERROR(INDEX(CATALOGOS!$B$56:$B$62,MATCH($M119,CATALOGOS!$A$56:$A$62,0)),0))</f>
        <v>0</v>
      </c>
      <c r="V119" s="21" t="str">
        <f t="shared" si="2"/>
        <v/>
      </c>
      <c r="W119" s="21">
        <f t="array" ref="W119">IF($D119="",0,IFERROR(INDEX(CATALOGOS!$C$6:$C$14,MATCH($D119,CATALOGOS!$A$6:$A$14,0)),0))</f>
        <v>0</v>
      </c>
      <c r="X119" s="21">
        <f t="array" ref="X119">IF($D119="",0,IFERROR(INDEX(CATALOGOS!$D$6:$D$14,MATCH($D119,CATALOGOS!$A$6:$A$14,0)),0))</f>
        <v>0</v>
      </c>
      <c r="Y119" s="21">
        <f t="array" ref="Y119">IF($D119="",0,IFERROR(INDEX(CATALOGOS!$E$6:$E$14,MATCH($D119,CATALOGOS!$A$6:$A$14,0)),0))</f>
        <v>0</v>
      </c>
      <c r="Z119" s="26" t="str">
        <f t="shared" si="3"/>
        <v/>
      </c>
    </row>
    <row r="120" ht="15.0" customHeight="1">
      <c r="A120" s="18" t="str">
        <f t="shared" si="1"/>
        <v/>
      </c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21" t="str">
        <f t="array" ref="Q120">IF($D120="","",IFERROR(INDEX(CATALOGOS!$B$6:$B$14,MATCH($D120,CATALOGOS!$A$6:$A$14,0)),0))</f>
        <v/>
      </c>
      <c r="R120" s="21">
        <f t="array" ref="R120">IF($E120="",0,IFERROR(INDEX(CATALOGOS!$B$19:$B$30,MATCH($E120,CATALOGOS!$A$19:$A$30,0)),0))</f>
        <v>0</v>
      </c>
      <c r="S120" s="21">
        <f t="array" ref="S120">IF($K120="",0,IFERROR(INDEX(CATALOGOS!$B$35:$B$42,MATCH($K120,CATALOGOS!$A$35:$A$42,0)),0))</f>
        <v>0</v>
      </c>
      <c r="T120" s="21">
        <f t="array" ref="T120">IF($J120="",0,IFERROR(INDEX(CATALOGOS!$B$47:$B$51,MATCH($J120,CATALOGOS!$A$47:$A$51,0)),0))</f>
        <v>0</v>
      </c>
      <c r="U120" s="21">
        <f t="array" ref="U120">IF($M120="",0,IFERROR(INDEX(CATALOGOS!$B$56:$B$62,MATCH($M120,CATALOGOS!$A$56:$A$62,0)),0))</f>
        <v>0</v>
      </c>
      <c r="V120" s="21" t="str">
        <f t="shared" si="2"/>
        <v/>
      </c>
      <c r="W120" s="21">
        <f t="array" ref="W120">IF($D120="",0,IFERROR(INDEX(CATALOGOS!$C$6:$C$14,MATCH($D120,CATALOGOS!$A$6:$A$14,0)),0))</f>
        <v>0</v>
      </c>
      <c r="X120" s="21">
        <f t="array" ref="X120">IF($D120="",0,IFERROR(INDEX(CATALOGOS!$D$6:$D$14,MATCH($D120,CATALOGOS!$A$6:$A$14,0)),0))</f>
        <v>0</v>
      </c>
      <c r="Y120" s="21">
        <f t="array" ref="Y120">IF($D120="",0,IFERROR(INDEX(CATALOGOS!$E$6:$E$14,MATCH($D120,CATALOGOS!$A$6:$A$14,0)),0))</f>
        <v>0</v>
      </c>
      <c r="Z120" s="26" t="str">
        <f t="shared" si="3"/>
        <v/>
      </c>
    </row>
    <row r="121" ht="15.0" customHeight="1">
      <c r="A121" s="18" t="str">
        <f t="shared" si="1"/>
        <v/>
      </c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21" t="str">
        <f t="array" ref="Q121">IF($D121="","",IFERROR(INDEX(CATALOGOS!$B$6:$B$14,MATCH($D121,CATALOGOS!$A$6:$A$14,0)),0))</f>
        <v/>
      </c>
      <c r="R121" s="21">
        <f t="array" ref="R121">IF($E121="",0,IFERROR(INDEX(CATALOGOS!$B$19:$B$30,MATCH($E121,CATALOGOS!$A$19:$A$30,0)),0))</f>
        <v>0</v>
      </c>
      <c r="S121" s="21">
        <f t="array" ref="S121">IF($K121="",0,IFERROR(INDEX(CATALOGOS!$B$35:$B$42,MATCH($K121,CATALOGOS!$A$35:$A$42,0)),0))</f>
        <v>0</v>
      </c>
      <c r="T121" s="21">
        <f t="array" ref="T121">IF($J121="",0,IFERROR(INDEX(CATALOGOS!$B$47:$B$51,MATCH($J121,CATALOGOS!$A$47:$A$51,0)),0))</f>
        <v>0</v>
      </c>
      <c r="U121" s="21">
        <f t="array" ref="U121">IF($M121="",0,IFERROR(INDEX(CATALOGOS!$B$56:$B$62,MATCH($M121,CATALOGOS!$A$56:$A$62,0)),0))</f>
        <v>0</v>
      </c>
      <c r="V121" s="21" t="str">
        <f t="shared" si="2"/>
        <v/>
      </c>
      <c r="W121" s="21">
        <f t="array" ref="W121">IF($D121="",0,IFERROR(INDEX(CATALOGOS!$C$6:$C$14,MATCH($D121,CATALOGOS!$A$6:$A$14,0)),0))</f>
        <v>0</v>
      </c>
      <c r="X121" s="21">
        <f t="array" ref="X121">IF($D121="",0,IFERROR(INDEX(CATALOGOS!$D$6:$D$14,MATCH($D121,CATALOGOS!$A$6:$A$14,0)),0))</f>
        <v>0</v>
      </c>
      <c r="Y121" s="21">
        <f t="array" ref="Y121">IF($D121="",0,IFERROR(INDEX(CATALOGOS!$E$6:$E$14,MATCH($D121,CATALOGOS!$A$6:$A$14,0)),0))</f>
        <v>0</v>
      </c>
      <c r="Z121" s="26" t="str">
        <f t="shared" si="3"/>
        <v/>
      </c>
    </row>
    <row r="122" ht="15.0" customHeight="1">
      <c r="A122" s="18" t="str">
        <f t="shared" si="1"/>
        <v/>
      </c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21" t="str">
        <f t="array" ref="Q122">IF($D122="","",IFERROR(INDEX(CATALOGOS!$B$6:$B$14,MATCH($D122,CATALOGOS!$A$6:$A$14,0)),0))</f>
        <v/>
      </c>
      <c r="R122" s="21">
        <f t="array" ref="R122">IF($E122="",0,IFERROR(INDEX(CATALOGOS!$B$19:$B$30,MATCH($E122,CATALOGOS!$A$19:$A$30,0)),0))</f>
        <v>0</v>
      </c>
      <c r="S122" s="21">
        <f t="array" ref="S122">IF($K122="",0,IFERROR(INDEX(CATALOGOS!$B$35:$B$42,MATCH($K122,CATALOGOS!$A$35:$A$42,0)),0))</f>
        <v>0</v>
      </c>
      <c r="T122" s="21">
        <f t="array" ref="T122">IF($J122="",0,IFERROR(INDEX(CATALOGOS!$B$47:$B$51,MATCH($J122,CATALOGOS!$A$47:$A$51,0)),0))</f>
        <v>0</v>
      </c>
      <c r="U122" s="21">
        <f t="array" ref="U122">IF($M122="",0,IFERROR(INDEX(CATALOGOS!$B$56:$B$62,MATCH($M122,CATALOGOS!$A$56:$A$62,0)),0))</f>
        <v>0</v>
      </c>
      <c r="V122" s="21" t="str">
        <f t="shared" si="2"/>
        <v/>
      </c>
      <c r="W122" s="21">
        <f t="array" ref="W122">IF($D122="",0,IFERROR(INDEX(CATALOGOS!$C$6:$C$14,MATCH($D122,CATALOGOS!$A$6:$A$14,0)),0))</f>
        <v>0</v>
      </c>
      <c r="X122" s="21">
        <f t="array" ref="X122">IF($D122="",0,IFERROR(INDEX(CATALOGOS!$D$6:$D$14,MATCH($D122,CATALOGOS!$A$6:$A$14,0)),0))</f>
        <v>0</v>
      </c>
      <c r="Y122" s="21">
        <f t="array" ref="Y122">IF($D122="",0,IFERROR(INDEX(CATALOGOS!$E$6:$E$14,MATCH($D122,CATALOGOS!$A$6:$A$14,0)),0))</f>
        <v>0</v>
      </c>
      <c r="Z122" s="26" t="str">
        <f t="shared" si="3"/>
        <v/>
      </c>
    </row>
    <row r="123" ht="15.0" customHeight="1">
      <c r="A123" s="18" t="str">
        <f t="shared" si="1"/>
        <v/>
      </c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21" t="str">
        <f t="array" ref="Q123">IF($D123="","",IFERROR(INDEX(CATALOGOS!$B$6:$B$14,MATCH($D123,CATALOGOS!$A$6:$A$14,0)),0))</f>
        <v/>
      </c>
      <c r="R123" s="21">
        <f t="array" ref="R123">IF($E123="",0,IFERROR(INDEX(CATALOGOS!$B$19:$B$30,MATCH($E123,CATALOGOS!$A$19:$A$30,0)),0))</f>
        <v>0</v>
      </c>
      <c r="S123" s="21">
        <f t="array" ref="S123">IF($K123="",0,IFERROR(INDEX(CATALOGOS!$B$35:$B$42,MATCH($K123,CATALOGOS!$A$35:$A$42,0)),0))</f>
        <v>0</v>
      </c>
      <c r="T123" s="21">
        <f t="array" ref="T123">IF($J123="",0,IFERROR(INDEX(CATALOGOS!$B$47:$B$51,MATCH($J123,CATALOGOS!$A$47:$A$51,0)),0))</f>
        <v>0</v>
      </c>
      <c r="U123" s="21">
        <f t="array" ref="U123">IF($M123="",0,IFERROR(INDEX(CATALOGOS!$B$56:$B$62,MATCH($M123,CATALOGOS!$A$56:$A$62,0)),0))</f>
        <v>0</v>
      </c>
      <c r="V123" s="21" t="str">
        <f t="shared" si="2"/>
        <v/>
      </c>
      <c r="W123" s="21">
        <f t="array" ref="W123">IF($D123="",0,IFERROR(INDEX(CATALOGOS!$C$6:$C$14,MATCH($D123,CATALOGOS!$A$6:$A$14,0)),0))</f>
        <v>0</v>
      </c>
      <c r="X123" s="21">
        <f t="array" ref="X123">IF($D123="",0,IFERROR(INDEX(CATALOGOS!$D$6:$D$14,MATCH($D123,CATALOGOS!$A$6:$A$14,0)),0))</f>
        <v>0</v>
      </c>
      <c r="Y123" s="21">
        <f t="array" ref="Y123">IF($D123="",0,IFERROR(INDEX(CATALOGOS!$E$6:$E$14,MATCH($D123,CATALOGOS!$A$6:$A$14,0)),0))</f>
        <v>0</v>
      </c>
      <c r="Z123" s="26" t="str">
        <f t="shared" si="3"/>
        <v/>
      </c>
    </row>
    <row r="124" ht="15.0" customHeight="1">
      <c r="A124" s="18" t="str">
        <f t="shared" si="1"/>
        <v/>
      </c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21" t="str">
        <f t="array" ref="Q124">IF($D124="","",IFERROR(INDEX(CATALOGOS!$B$6:$B$14,MATCH($D124,CATALOGOS!$A$6:$A$14,0)),0))</f>
        <v/>
      </c>
      <c r="R124" s="21">
        <f t="array" ref="R124">IF($E124="",0,IFERROR(INDEX(CATALOGOS!$B$19:$B$30,MATCH($E124,CATALOGOS!$A$19:$A$30,0)),0))</f>
        <v>0</v>
      </c>
      <c r="S124" s="21">
        <f t="array" ref="S124">IF($K124="",0,IFERROR(INDEX(CATALOGOS!$B$35:$B$42,MATCH($K124,CATALOGOS!$A$35:$A$42,0)),0))</f>
        <v>0</v>
      </c>
      <c r="T124" s="21">
        <f t="array" ref="T124">IF($J124="",0,IFERROR(INDEX(CATALOGOS!$B$47:$B$51,MATCH($J124,CATALOGOS!$A$47:$A$51,0)),0))</f>
        <v>0</v>
      </c>
      <c r="U124" s="21">
        <f t="array" ref="U124">IF($M124="",0,IFERROR(INDEX(CATALOGOS!$B$56:$B$62,MATCH($M124,CATALOGOS!$A$56:$A$62,0)),0))</f>
        <v>0</v>
      </c>
      <c r="V124" s="21" t="str">
        <f t="shared" si="2"/>
        <v/>
      </c>
      <c r="W124" s="21">
        <f t="array" ref="W124">IF($D124="",0,IFERROR(INDEX(CATALOGOS!$C$6:$C$14,MATCH($D124,CATALOGOS!$A$6:$A$14,0)),0))</f>
        <v>0</v>
      </c>
      <c r="X124" s="21">
        <f t="array" ref="X124">IF($D124="",0,IFERROR(INDEX(CATALOGOS!$D$6:$D$14,MATCH($D124,CATALOGOS!$A$6:$A$14,0)),0))</f>
        <v>0</v>
      </c>
      <c r="Y124" s="21">
        <f t="array" ref="Y124">IF($D124="",0,IFERROR(INDEX(CATALOGOS!$E$6:$E$14,MATCH($D124,CATALOGOS!$A$6:$A$14,0)),0))</f>
        <v>0</v>
      </c>
      <c r="Z124" s="26" t="str">
        <f t="shared" si="3"/>
        <v/>
      </c>
    </row>
    <row r="125" ht="15.0" customHeight="1">
      <c r="A125" s="18" t="str">
        <f t="shared" si="1"/>
        <v/>
      </c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21" t="str">
        <f t="array" ref="Q125">IF($D125="","",IFERROR(INDEX(CATALOGOS!$B$6:$B$14,MATCH($D125,CATALOGOS!$A$6:$A$14,0)),0))</f>
        <v/>
      </c>
      <c r="R125" s="21">
        <f t="array" ref="R125">IF($E125="",0,IFERROR(INDEX(CATALOGOS!$B$19:$B$30,MATCH($E125,CATALOGOS!$A$19:$A$30,0)),0))</f>
        <v>0</v>
      </c>
      <c r="S125" s="21">
        <f t="array" ref="S125">IF($K125="",0,IFERROR(INDEX(CATALOGOS!$B$35:$B$42,MATCH($K125,CATALOGOS!$A$35:$A$42,0)),0))</f>
        <v>0</v>
      </c>
      <c r="T125" s="21">
        <f t="array" ref="T125">IF($J125="",0,IFERROR(INDEX(CATALOGOS!$B$47:$B$51,MATCH($J125,CATALOGOS!$A$47:$A$51,0)),0))</f>
        <v>0</v>
      </c>
      <c r="U125" s="21">
        <f t="array" ref="U125">IF($M125="",0,IFERROR(INDEX(CATALOGOS!$B$56:$B$62,MATCH($M125,CATALOGOS!$A$56:$A$62,0)),0))</f>
        <v>0</v>
      </c>
      <c r="V125" s="21" t="str">
        <f t="shared" si="2"/>
        <v/>
      </c>
      <c r="W125" s="21">
        <f t="array" ref="W125">IF($D125="",0,IFERROR(INDEX(CATALOGOS!$C$6:$C$14,MATCH($D125,CATALOGOS!$A$6:$A$14,0)),0))</f>
        <v>0</v>
      </c>
      <c r="X125" s="21">
        <f t="array" ref="X125">IF($D125="",0,IFERROR(INDEX(CATALOGOS!$D$6:$D$14,MATCH($D125,CATALOGOS!$A$6:$A$14,0)),0))</f>
        <v>0</v>
      </c>
      <c r="Y125" s="21">
        <f t="array" ref="Y125">IF($D125="",0,IFERROR(INDEX(CATALOGOS!$E$6:$E$14,MATCH($D125,CATALOGOS!$A$6:$A$14,0)),0))</f>
        <v>0</v>
      </c>
      <c r="Z125" s="26" t="str">
        <f t="shared" si="3"/>
        <v/>
      </c>
    </row>
    <row r="126" ht="15.0" customHeight="1">
      <c r="A126" s="18" t="str">
        <f t="shared" si="1"/>
        <v/>
      </c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21" t="str">
        <f t="array" ref="Q126">IF($D126="","",IFERROR(INDEX(CATALOGOS!$B$6:$B$14,MATCH($D126,CATALOGOS!$A$6:$A$14,0)),0))</f>
        <v/>
      </c>
      <c r="R126" s="21">
        <f t="array" ref="R126">IF($E126="",0,IFERROR(INDEX(CATALOGOS!$B$19:$B$30,MATCH($E126,CATALOGOS!$A$19:$A$30,0)),0))</f>
        <v>0</v>
      </c>
      <c r="S126" s="21">
        <f t="array" ref="S126">IF($K126="",0,IFERROR(INDEX(CATALOGOS!$B$35:$B$42,MATCH($K126,CATALOGOS!$A$35:$A$42,0)),0))</f>
        <v>0</v>
      </c>
      <c r="T126" s="21">
        <f t="array" ref="T126">IF($J126="",0,IFERROR(INDEX(CATALOGOS!$B$47:$B$51,MATCH($J126,CATALOGOS!$A$47:$A$51,0)),0))</f>
        <v>0</v>
      </c>
      <c r="U126" s="21">
        <f t="array" ref="U126">IF($M126="",0,IFERROR(INDEX(CATALOGOS!$B$56:$B$62,MATCH($M126,CATALOGOS!$A$56:$A$62,0)),0))</f>
        <v>0</v>
      </c>
      <c r="V126" s="21" t="str">
        <f t="shared" si="2"/>
        <v/>
      </c>
      <c r="W126" s="21">
        <f t="array" ref="W126">IF($D126="",0,IFERROR(INDEX(CATALOGOS!$C$6:$C$14,MATCH($D126,CATALOGOS!$A$6:$A$14,0)),0))</f>
        <v>0</v>
      </c>
      <c r="X126" s="21">
        <f t="array" ref="X126">IF($D126="",0,IFERROR(INDEX(CATALOGOS!$D$6:$D$14,MATCH($D126,CATALOGOS!$A$6:$A$14,0)),0))</f>
        <v>0</v>
      </c>
      <c r="Y126" s="21">
        <f t="array" ref="Y126">IF($D126="",0,IFERROR(INDEX(CATALOGOS!$E$6:$E$14,MATCH($D126,CATALOGOS!$A$6:$A$14,0)),0))</f>
        <v>0</v>
      </c>
      <c r="Z126" s="26" t="str">
        <f t="shared" si="3"/>
        <v/>
      </c>
    </row>
    <row r="127" ht="15.0" customHeight="1">
      <c r="A127" s="18" t="str">
        <f t="shared" si="1"/>
        <v/>
      </c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21" t="str">
        <f t="array" ref="Q127">IF($D127="","",IFERROR(INDEX(CATALOGOS!$B$6:$B$14,MATCH($D127,CATALOGOS!$A$6:$A$14,0)),0))</f>
        <v/>
      </c>
      <c r="R127" s="21">
        <f t="array" ref="R127">IF($E127="",0,IFERROR(INDEX(CATALOGOS!$B$19:$B$30,MATCH($E127,CATALOGOS!$A$19:$A$30,0)),0))</f>
        <v>0</v>
      </c>
      <c r="S127" s="21">
        <f t="array" ref="S127">IF($K127="",0,IFERROR(INDEX(CATALOGOS!$B$35:$B$42,MATCH($K127,CATALOGOS!$A$35:$A$42,0)),0))</f>
        <v>0</v>
      </c>
      <c r="T127" s="21">
        <f t="array" ref="T127">IF($J127="",0,IFERROR(INDEX(CATALOGOS!$B$47:$B$51,MATCH($J127,CATALOGOS!$A$47:$A$51,0)),0))</f>
        <v>0</v>
      </c>
      <c r="U127" s="21">
        <f t="array" ref="U127">IF($M127="",0,IFERROR(INDEX(CATALOGOS!$B$56:$B$62,MATCH($M127,CATALOGOS!$A$56:$A$62,0)),0))</f>
        <v>0</v>
      </c>
      <c r="V127" s="21" t="str">
        <f t="shared" si="2"/>
        <v/>
      </c>
      <c r="W127" s="21">
        <f t="array" ref="W127">IF($D127="",0,IFERROR(INDEX(CATALOGOS!$C$6:$C$14,MATCH($D127,CATALOGOS!$A$6:$A$14,0)),0))</f>
        <v>0</v>
      </c>
      <c r="X127" s="21">
        <f t="array" ref="X127">IF($D127="",0,IFERROR(INDEX(CATALOGOS!$D$6:$D$14,MATCH($D127,CATALOGOS!$A$6:$A$14,0)),0))</f>
        <v>0</v>
      </c>
      <c r="Y127" s="21">
        <f t="array" ref="Y127">IF($D127="",0,IFERROR(INDEX(CATALOGOS!$E$6:$E$14,MATCH($D127,CATALOGOS!$A$6:$A$14,0)),0))</f>
        <v>0</v>
      </c>
      <c r="Z127" s="26" t="str">
        <f t="shared" si="3"/>
        <v/>
      </c>
    </row>
    <row r="128" ht="15.0" customHeight="1">
      <c r="A128" s="18" t="str">
        <f t="shared" si="1"/>
        <v/>
      </c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21" t="str">
        <f t="array" ref="Q128">IF($D128="","",IFERROR(INDEX(CATALOGOS!$B$6:$B$14,MATCH($D128,CATALOGOS!$A$6:$A$14,0)),0))</f>
        <v/>
      </c>
      <c r="R128" s="21">
        <f t="array" ref="R128">IF($E128="",0,IFERROR(INDEX(CATALOGOS!$B$19:$B$30,MATCH($E128,CATALOGOS!$A$19:$A$30,0)),0))</f>
        <v>0</v>
      </c>
      <c r="S128" s="21">
        <f t="array" ref="S128">IF($K128="",0,IFERROR(INDEX(CATALOGOS!$B$35:$B$42,MATCH($K128,CATALOGOS!$A$35:$A$42,0)),0))</f>
        <v>0</v>
      </c>
      <c r="T128" s="21">
        <f t="array" ref="T128">IF($J128="",0,IFERROR(INDEX(CATALOGOS!$B$47:$B$51,MATCH($J128,CATALOGOS!$A$47:$A$51,0)),0))</f>
        <v>0</v>
      </c>
      <c r="U128" s="21">
        <f t="array" ref="U128">IF($M128="",0,IFERROR(INDEX(CATALOGOS!$B$56:$B$62,MATCH($M128,CATALOGOS!$A$56:$A$62,0)),0))</f>
        <v>0</v>
      </c>
      <c r="V128" s="21" t="str">
        <f t="shared" si="2"/>
        <v/>
      </c>
      <c r="W128" s="21">
        <f t="array" ref="W128">IF($D128="",0,IFERROR(INDEX(CATALOGOS!$C$6:$C$14,MATCH($D128,CATALOGOS!$A$6:$A$14,0)),0))</f>
        <v>0</v>
      </c>
      <c r="X128" s="21">
        <f t="array" ref="X128">IF($D128="",0,IFERROR(INDEX(CATALOGOS!$D$6:$D$14,MATCH($D128,CATALOGOS!$A$6:$A$14,0)),0))</f>
        <v>0</v>
      </c>
      <c r="Y128" s="21">
        <f t="array" ref="Y128">IF($D128="",0,IFERROR(INDEX(CATALOGOS!$E$6:$E$14,MATCH($D128,CATALOGOS!$A$6:$A$14,0)),0))</f>
        <v>0</v>
      </c>
      <c r="Z128" s="26" t="str">
        <f t="shared" si="3"/>
        <v/>
      </c>
    </row>
    <row r="129" ht="15.0" customHeight="1">
      <c r="A129" s="18" t="str">
        <f t="shared" si="1"/>
        <v/>
      </c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21" t="str">
        <f t="array" ref="Q129">IF($D129="","",IFERROR(INDEX(CATALOGOS!$B$6:$B$14,MATCH($D129,CATALOGOS!$A$6:$A$14,0)),0))</f>
        <v/>
      </c>
      <c r="R129" s="21">
        <f t="array" ref="R129">IF($E129="",0,IFERROR(INDEX(CATALOGOS!$B$19:$B$30,MATCH($E129,CATALOGOS!$A$19:$A$30,0)),0))</f>
        <v>0</v>
      </c>
      <c r="S129" s="21">
        <f t="array" ref="S129">IF($K129="",0,IFERROR(INDEX(CATALOGOS!$B$35:$B$42,MATCH($K129,CATALOGOS!$A$35:$A$42,0)),0))</f>
        <v>0</v>
      </c>
      <c r="T129" s="21">
        <f t="array" ref="T129">IF($J129="",0,IFERROR(INDEX(CATALOGOS!$B$47:$B$51,MATCH($J129,CATALOGOS!$A$47:$A$51,0)),0))</f>
        <v>0</v>
      </c>
      <c r="U129" s="21">
        <f t="array" ref="U129">IF($M129="",0,IFERROR(INDEX(CATALOGOS!$B$56:$B$62,MATCH($M129,CATALOGOS!$A$56:$A$62,0)),0))</f>
        <v>0</v>
      </c>
      <c r="V129" s="21" t="str">
        <f t="shared" si="2"/>
        <v/>
      </c>
      <c r="W129" s="21">
        <f t="array" ref="W129">IF($D129="",0,IFERROR(INDEX(CATALOGOS!$C$6:$C$14,MATCH($D129,CATALOGOS!$A$6:$A$14,0)),0))</f>
        <v>0</v>
      </c>
      <c r="X129" s="21">
        <f t="array" ref="X129">IF($D129="",0,IFERROR(INDEX(CATALOGOS!$D$6:$D$14,MATCH($D129,CATALOGOS!$A$6:$A$14,0)),0))</f>
        <v>0</v>
      </c>
      <c r="Y129" s="21">
        <f t="array" ref="Y129">IF($D129="",0,IFERROR(INDEX(CATALOGOS!$E$6:$E$14,MATCH($D129,CATALOGOS!$A$6:$A$14,0)),0))</f>
        <v>0</v>
      </c>
      <c r="Z129" s="26" t="str">
        <f t="shared" si="3"/>
        <v/>
      </c>
    </row>
    <row r="130" ht="15.0" customHeight="1">
      <c r="A130" s="18" t="str">
        <f t="shared" si="1"/>
        <v/>
      </c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21" t="str">
        <f t="array" ref="Q130">IF($D130="","",IFERROR(INDEX(CATALOGOS!$B$6:$B$14,MATCH($D130,CATALOGOS!$A$6:$A$14,0)),0))</f>
        <v/>
      </c>
      <c r="R130" s="21">
        <f t="array" ref="R130">IF($E130="",0,IFERROR(INDEX(CATALOGOS!$B$19:$B$30,MATCH($E130,CATALOGOS!$A$19:$A$30,0)),0))</f>
        <v>0</v>
      </c>
      <c r="S130" s="21">
        <f t="array" ref="S130">IF($K130="",0,IFERROR(INDEX(CATALOGOS!$B$35:$B$42,MATCH($K130,CATALOGOS!$A$35:$A$42,0)),0))</f>
        <v>0</v>
      </c>
      <c r="T130" s="21">
        <f t="array" ref="T130">IF($J130="",0,IFERROR(INDEX(CATALOGOS!$B$47:$B$51,MATCH($J130,CATALOGOS!$A$47:$A$51,0)),0))</f>
        <v>0</v>
      </c>
      <c r="U130" s="21">
        <f t="array" ref="U130">IF($M130="",0,IFERROR(INDEX(CATALOGOS!$B$56:$B$62,MATCH($M130,CATALOGOS!$A$56:$A$62,0)),0))</f>
        <v>0</v>
      </c>
      <c r="V130" s="21" t="str">
        <f t="shared" si="2"/>
        <v/>
      </c>
      <c r="W130" s="21">
        <f t="array" ref="W130">IF($D130="",0,IFERROR(INDEX(CATALOGOS!$C$6:$C$14,MATCH($D130,CATALOGOS!$A$6:$A$14,0)),0))</f>
        <v>0</v>
      </c>
      <c r="X130" s="21">
        <f t="array" ref="X130">IF($D130="",0,IFERROR(INDEX(CATALOGOS!$D$6:$D$14,MATCH($D130,CATALOGOS!$A$6:$A$14,0)),0))</f>
        <v>0</v>
      </c>
      <c r="Y130" s="21">
        <f t="array" ref="Y130">IF($D130="",0,IFERROR(INDEX(CATALOGOS!$E$6:$E$14,MATCH($D130,CATALOGOS!$A$6:$A$14,0)),0))</f>
        <v>0</v>
      </c>
      <c r="Z130" s="26" t="str">
        <f t="shared" si="3"/>
        <v/>
      </c>
    </row>
    <row r="131" ht="15.0" customHeight="1">
      <c r="A131" s="18" t="str">
        <f t="shared" si="1"/>
        <v/>
      </c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21" t="str">
        <f t="array" ref="Q131">IF($D131="","",IFERROR(INDEX(CATALOGOS!$B$6:$B$14,MATCH($D131,CATALOGOS!$A$6:$A$14,0)),0))</f>
        <v/>
      </c>
      <c r="R131" s="21">
        <f t="array" ref="R131">IF($E131="",0,IFERROR(INDEX(CATALOGOS!$B$19:$B$30,MATCH($E131,CATALOGOS!$A$19:$A$30,0)),0))</f>
        <v>0</v>
      </c>
      <c r="S131" s="21">
        <f t="array" ref="S131">IF($K131="",0,IFERROR(INDEX(CATALOGOS!$B$35:$B$42,MATCH($K131,CATALOGOS!$A$35:$A$42,0)),0))</f>
        <v>0</v>
      </c>
      <c r="T131" s="21">
        <f t="array" ref="T131">IF($J131="",0,IFERROR(INDEX(CATALOGOS!$B$47:$B$51,MATCH($J131,CATALOGOS!$A$47:$A$51,0)),0))</f>
        <v>0</v>
      </c>
      <c r="U131" s="21">
        <f t="array" ref="U131">IF($M131="",0,IFERROR(INDEX(CATALOGOS!$B$56:$B$62,MATCH($M131,CATALOGOS!$A$56:$A$62,0)),0))</f>
        <v>0</v>
      </c>
      <c r="V131" s="21" t="str">
        <f t="shared" si="2"/>
        <v/>
      </c>
      <c r="W131" s="21">
        <f t="array" ref="W131">IF($D131="",0,IFERROR(INDEX(CATALOGOS!$C$6:$C$14,MATCH($D131,CATALOGOS!$A$6:$A$14,0)),0))</f>
        <v>0</v>
      </c>
      <c r="X131" s="21">
        <f t="array" ref="X131">IF($D131="",0,IFERROR(INDEX(CATALOGOS!$D$6:$D$14,MATCH($D131,CATALOGOS!$A$6:$A$14,0)),0))</f>
        <v>0</v>
      </c>
      <c r="Y131" s="21">
        <f t="array" ref="Y131">IF($D131="",0,IFERROR(INDEX(CATALOGOS!$E$6:$E$14,MATCH($D131,CATALOGOS!$A$6:$A$14,0)),0))</f>
        <v>0</v>
      </c>
      <c r="Z131" s="26" t="str">
        <f t="shared" si="3"/>
        <v/>
      </c>
    </row>
    <row r="132" ht="15.0" customHeight="1">
      <c r="A132" s="18" t="str">
        <f t="shared" si="1"/>
        <v/>
      </c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21" t="str">
        <f t="array" ref="Q132">IF($D132="","",IFERROR(INDEX(CATALOGOS!$B$6:$B$14,MATCH($D132,CATALOGOS!$A$6:$A$14,0)),0))</f>
        <v/>
      </c>
      <c r="R132" s="21">
        <f t="array" ref="R132">IF($E132="",0,IFERROR(INDEX(CATALOGOS!$B$19:$B$30,MATCH($E132,CATALOGOS!$A$19:$A$30,0)),0))</f>
        <v>0</v>
      </c>
      <c r="S132" s="21">
        <f t="array" ref="S132">IF($K132="",0,IFERROR(INDEX(CATALOGOS!$B$35:$B$42,MATCH($K132,CATALOGOS!$A$35:$A$42,0)),0))</f>
        <v>0</v>
      </c>
      <c r="T132" s="21">
        <f t="array" ref="T132">IF($J132="",0,IFERROR(INDEX(CATALOGOS!$B$47:$B$51,MATCH($J132,CATALOGOS!$A$47:$A$51,0)),0))</f>
        <v>0</v>
      </c>
      <c r="U132" s="21">
        <f t="array" ref="U132">IF($M132="",0,IFERROR(INDEX(CATALOGOS!$B$56:$B$62,MATCH($M132,CATALOGOS!$A$56:$A$62,0)),0))</f>
        <v>0</v>
      </c>
      <c r="V132" s="21" t="str">
        <f t="shared" si="2"/>
        <v/>
      </c>
      <c r="W132" s="21">
        <f t="array" ref="W132">IF($D132="",0,IFERROR(INDEX(CATALOGOS!$C$6:$C$14,MATCH($D132,CATALOGOS!$A$6:$A$14,0)),0))</f>
        <v>0</v>
      </c>
      <c r="X132" s="21">
        <f t="array" ref="X132">IF($D132="",0,IFERROR(INDEX(CATALOGOS!$D$6:$D$14,MATCH($D132,CATALOGOS!$A$6:$A$14,0)),0))</f>
        <v>0</v>
      </c>
      <c r="Y132" s="21">
        <f t="array" ref="Y132">IF($D132="",0,IFERROR(INDEX(CATALOGOS!$E$6:$E$14,MATCH($D132,CATALOGOS!$A$6:$A$14,0)),0))</f>
        <v>0</v>
      </c>
      <c r="Z132" s="26" t="str">
        <f t="shared" si="3"/>
        <v/>
      </c>
    </row>
    <row r="133" ht="15.0" customHeight="1">
      <c r="A133" s="18" t="str">
        <f t="shared" si="1"/>
        <v/>
      </c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21" t="str">
        <f t="array" ref="Q133">IF($D133="","",IFERROR(INDEX(CATALOGOS!$B$6:$B$14,MATCH($D133,CATALOGOS!$A$6:$A$14,0)),0))</f>
        <v/>
      </c>
      <c r="R133" s="21">
        <f t="array" ref="R133">IF($E133="",0,IFERROR(INDEX(CATALOGOS!$B$19:$B$30,MATCH($E133,CATALOGOS!$A$19:$A$30,0)),0))</f>
        <v>0</v>
      </c>
      <c r="S133" s="21">
        <f t="array" ref="S133">IF($K133="",0,IFERROR(INDEX(CATALOGOS!$B$35:$B$42,MATCH($K133,CATALOGOS!$A$35:$A$42,0)),0))</f>
        <v>0</v>
      </c>
      <c r="T133" s="21">
        <f t="array" ref="T133">IF($J133="",0,IFERROR(INDEX(CATALOGOS!$B$47:$B$51,MATCH($J133,CATALOGOS!$A$47:$A$51,0)),0))</f>
        <v>0</v>
      </c>
      <c r="U133" s="21">
        <f t="array" ref="U133">IF($M133="",0,IFERROR(INDEX(CATALOGOS!$B$56:$B$62,MATCH($M133,CATALOGOS!$A$56:$A$62,0)),0))</f>
        <v>0</v>
      </c>
      <c r="V133" s="21" t="str">
        <f t="shared" si="2"/>
        <v/>
      </c>
      <c r="W133" s="21">
        <f t="array" ref="W133">IF($D133="",0,IFERROR(INDEX(CATALOGOS!$C$6:$C$14,MATCH($D133,CATALOGOS!$A$6:$A$14,0)),0))</f>
        <v>0</v>
      </c>
      <c r="X133" s="21">
        <f t="array" ref="X133">IF($D133="",0,IFERROR(INDEX(CATALOGOS!$D$6:$D$14,MATCH($D133,CATALOGOS!$A$6:$A$14,0)),0))</f>
        <v>0</v>
      </c>
      <c r="Y133" s="21">
        <f t="array" ref="Y133">IF($D133="",0,IFERROR(INDEX(CATALOGOS!$E$6:$E$14,MATCH($D133,CATALOGOS!$A$6:$A$14,0)),0))</f>
        <v>0</v>
      </c>
      <c r="Z133" s="26" t="str">
        <f t="shared" si="3"/>
        <v/>
      </c>
    </row>
    <row r="134" ht="15.0" customHeight="1">
      <c r="A134" s="18" t="str">
        <f t="shared" si="1"/>
        <v/>
      </c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21" t="str">
        <f t="array" ref="Q134">IF($D134="","",IFERROR(INDEX(CATALOGOS!$B$6:$B$14,MATCH($D134,CATALOGOS!$A$6:$A$14,0)),0))</f>
        <v/>
      </c>
      <c r="R134" s="21">
        <f t="array" ref="R134">IF($E134="",0,IFERROR(INDEX(CATALOGOS!$B$19:$B$30,MATCH($E134,CATALOGOS!$A$19:$A$30,0)),0))</f>
        <v>0</v>
      </c>
      <c r="S134" s="21">
        <f t="array" ref="S134">IF($K134="",0,IFERROR(INDEX(CATALOGOS!$B$35:$B$42,MATCH($K134,CATALOGOS!$A$35:$A$42,0)),0))</f>
        <v>0</v>
      </c>
      <c r="T134" s="21">
        <f t="array" ref="T134">IF($J134="",0,IFERROR(INDEX(CATALOGOS!$B$47:$B$51,MATCH($J134,CATALOGOS!$A$47:$A$51,0)),0))</f>
        <v>0</v>
      </c>
      <c r="U134" s="21">
        <f t="array" ref="U134">IF($M134="",0,IFERROR(INDEX(CATALOGOS!$B$56:$B$62,MATCH($M134,CATALOGOS!$A$56:$A$62,0)),0))</f>
        <v>0</v>
      </c>
      <c r="V134" s="21" t="str">
        <f t="shared" si="2"/>
        <v/>
      </c>
      <c r="W134" s="21">
        <f t="array" ref="W134">IF($D134="",0,IFERROR(INDEX(CATALOGOS!$C$6:$C$14,MATCH($D134,CATALOGOS!$A$6:$A$14,0)),0))</f>
        <v>0</v>
      </c>
      <c r="X134" s="21">
        <f t="array" ref="X134">IF($D134="",0,IFERROR(INDEX(CATALOGOS!$D$6:$D$14,MATCH($D134,CATALOGOS!$A$6:$A$14,0)),0))</f>
        <v>0</v>
      </c>
      <c r="Y134" s="21">
        <f t="array" ref="Y134">IF($D134="",0,IFERROR(INDEX(CATALOGOS!$E$6:$E$14,MATCH($D134,CATALOGOS!$A$6:$A$14,0)),0))</f>
        <v>0</v>
      </c>
      <c r="Z134" s="26" t="str">
        <f t="shared" si="3"/>
        <v/>
      </c>
    </row>
    <row r="135" ht="15.0" customHeight="1">
      <c r="A135" s="18" t="str">
        <f t="shared" si="1"/>
        <v/>
      </c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21" t="str">
        <f t="array" ref="Q135">IF($D135="","",IFERROR(INDEX(CATALOGOS!$B$6:$B$14,MATCH($D135,CATALOGOS!$A$6:$A$14,0)),0))</f>
        <v/>
      </c>
      <c r="R135" s="21">
        <f t="array" ref="R135">IF($E135="",0,IFERROR(INDEX(CATALOGOS!$B$19:$B$30,MATCH($E135,CATALOGOS!$A$19:$A$30,0)),0))</f>
        <v>0</v>
      </c>
      <c r="S135" s="21">
        <f t="array" ref="S135">IF($K135="",0,IFERROR(INDEX(CATALOGOS!$B$35:$B$42,MATCH($K135,CATALOGOS!$A$35:$A$42,0)),0))</f>
        <v>0</v>
      </c>
      <c r="T135" s="21">
        <f t="array" ref="T135">IF($J135="",0,IFERROR(INDEX(CATALOGOS!$B$47:$B$51,MATCH($J135,CATALOGOS!$A$47:$A$51,0)),0))</f>
        <v>0</v>
      </c>
      <c r="U135" s="21">
        <f t="array" ref="U135">IF($M135="",0,IFERROR(INDEX(CATALOGOS!$B$56:$B$62,MATCH($M135,CATALOGOS!$A$56:$A$62,0)),0))</f>
        <v>0</v>
      </c>
      <c r="V135" s="21" t="str">
        <f t="shared" si="2"/>
        <v/>
      </c>
      <c r="W135" s="21">
        <f t="array" ref="W135">IF($D135="",0,IFERROR(INDEX(CATALOGOS!$C$6:$C$14,MATCH($D135,CATALOGOS!$A$6:$A$14,0)),0))</f>
        <v>0</v>
      </c>
      <c r="X135" s="21">
        <f t="array" ref="X135">IF($D135="",0,IFERROR(INDEX(CATALOGOS!$D$6:$D$14,MATCH($D135,CATALOGOS!$A$6:$A$14,0)),0))</f>
        <v>0</v>
      </c>
      <c r="Y135" s="21">
        <f t="array" ref="Y135">IF($D135="",0,IFERROR(INDEX(CATALOGOS!$E$6:$E$14,MATCH($D135,CATALOGOS!$A$6:$A$14,0)),0))</f>
        <v>0</v>
      </c>
      <c r="Z135" s="26" t="str">
        <f t="shared" si="3"/>
        <v/>
      </c>
    </row>
    <row r="136" ht="15.0" customHeight="1">
      <c r="A136" s="18" t="str">
        <f t="shared" si="1"/>
        <v/>
      </c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21" t="str">
        <f t="array" ref="Q136">IF($D136="","",IFERROR(INDEX(CATALOGOS!$B$6:$B$14,MATCH($D136,CATALOGOS!$A$6:$A$14,0)),0))</f>
        <v/>
      </c>
      <c r="R136" s="21">
        <f t="array" ref="R136">IF($E136="",0,IFERROR(INDEX(CATALOGOS!$B$19:$B$30,MATCH($E136,CATALOGOS!$A$19:$A$30,0)),0))</f>
        <v>0</v>
      </c>
      <c r="S136" s="21">
        <f t="array" ref="S136">IF($K136="",0,IFERROR(INDEX(CATALOGOS!$B$35:$B$42,MATCH($K136,CATALOGOS!$A$35:$A$42,0)),0))</f>
        <v>0</v>
      </c>
      <c r="T136" s="21">
        <f t="array" ref="T136">IF($J136="",0,IFERROR(INDEX(CATALOGOS!$B$47:$B$51,MATCH($J136,CATALOGOS!$A$47:$A$51,0)),0))</f>
        <v>0</v>
      </c>
      <c r="U136" s="21">
        <f t="array" ref="U136">IF($M136="",0,IFERROR(INDEX(CATALOGOS!$B$56:$B$62,MATCH($M136,CATALOGOS!$A$56:$A$62,0)),0))</f>
        <v>0</v>
      </c>
      <c r="V136" s="21" t="str">
        <f t="shared" si="2"/>
        <v/>
      </c>
      <c r="W136" s="21">
        <f t="array" ref="W136">IF($D136="",0,IFERROR(INDEX(CATALOGOS!$C$6:$C$14,MATCH($D136,CATALOGOS!$A$6:$A$14,0)),0))</f>
        <v>0</v>
      </c>
      <c r="X136" s="21">
        <f t="array" ref="X136">IF($D136="",0,IFERROR(INDEX(CATALOGOS!$D$6:$D$14,MATCH($D136,CATALOGOS!$A$6:$A$14,0)),0))</f>
        <v>0</v>
      </c>
      <c r="Y136" s="21">
        <f t="array" ref="Y136">IF($D136="",0,IFERROR(INDEX(CATALOGOS!$E$6:$E$14,MATCH($D136,CATALOGOS!$A$6:$A$14,0)),0))</f>
        <v>0</v>
      </c>
      <c r="Z136" s="26" t="str">
        <f t="shared" si="3"/>
        <v/>
      </c>
    </row>
    <row r="137" ht="15.0" customHeight="1">
      <c r="A137" s="18" t="str">
        <f t="shared" si="1"/>
        <v/>
      </c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21" t="str">
        <f t="array" ref="Q137">IF($D137="","",IFERROR(INDEX(CATALOGOS!$B$6:$B$14,MATCH($D137,CATALOGOS!$A$6:$A$14,0)),0))</f>
        <v/>
      </c>
      <c r="R137" s="21">
        <f t="array" ref="R137">IF($E137="",0,IFERROR(INDEX(CATALOGOS!$B$19:$B$30,MATCH($E137,CATALOGOS!$A$19:$A$30,0)),0))</f>
        <v>0</v>
      </c>
      <c r="S137" s="21">
        <f t="array" ref="S137">IF($K137="",0,IFERROR(INDEX(CATALOGOS!$B$35:$B$42,MATCH($K137,CATALOGOS!$A$35:$A$42,0)),0))</f>
        <v>0</v>
      </c>
      <c r="T137" s="21">
        <f t="array" ref="T137">IF($J137="",0,IFERROR(INDEX(CATALOGOS!$B$47:$B$51,MATCH($J137,CATALOGOS!$A$47:$A$51,0)),0))</f>
        <v>0</v>
      </c>
      <c r="U137" s="21">
        <f t="array" ref="U137">IF($M137="",0,IFERROR(INDEX(CATALOGOS!$B$56:$B$62,MATCH($M137,CATALOGOS!$A$56:$A$62,0)),0))</f>
        <v>0</v>
      </c>
      <c r="V137" s="21" t="str">
        <f t="shared" si="2"/>
        <v/>
      </c>
      <c r="W137" s="21">
        <f t="array" ref="W137">IF($D137="",0,IFERROR(INDEX(CATALOGOS!$C$6:$C$14,MATCH($D137,CATALOGOS!$A$6:$A$14,0)),0))</f>
        <v>0</v>
      </c>
      <c r="X137" s="21">
        <f t="array" ref="X137">IF($D137="",0,IFERROR(INDEX(CATALOGOS!$D$6:$D$14,MATCH($D137,CATALOGOS!$A$6:$A$14,0)),0))</f>
        <v>0</v>
      </c>
      <c r="Y137" s="21">
        <f t="array" ref="Y137">IF($D137="",0,IFERROR(INDEX(CATALOGOS!$E$6:$E$14,MATCH($D137,CATALOGOS!$A$6:$A$14,0)),0))</f>
        <v>0</v>
      </c>
      <c r="Z137" s="26" t="str">
        <f t="shared" si="3"/>
        <v/>
      </c>
    </row>
    <row r="138" ht="15.0" customHeight="1">
      <c r="A138" s="18" t="str">
        <f t="shared" si="1"/>
        <v/>
      </c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21" t="str">
        <f t="array" ref="Q138">IF($D138="","",IFERROR(INDEX(CATALOGOS!$B$6:$B$14,MATCH($D138,CATALOGOS!$A$6:$A$14,0)),0))</f>
        <v/>
      </c>
      <c r="R138" s="21">
        <f t="array" ref="R138">IF($E138="",0,IFERROR(INDEX(CATALOGOS!$B$19:$B$30,MATCH($E138,CATALOGOS!$A$19:$A$30,0)),0))</f>
        <v>0</v>
      </c>
      <c r="S138" s="21">
        <f t="array" ref="S138">IF($K138="",0,IFERROR(INDEX(CATALOGOS!$B$35:$B$42,MATCH($K138,CATALOGOS!$A$35:$A$42,0)),0))</f>
        <v>0</v>
      </c>
      <c r="T138" s="21">
        <f t="array" ref="T138">IF($J138="",0,IFERROR(INDEX(CATALOGOS!$B$47:$B$51,MATCH($J138,CATALOGOS!$A$47:$A$51,0)),0))</f>
        <v>0</v>
      </c>
      <c r="U138" s="21">
        <f t="array" ref="U138">IF($M138="",0,IFERROR(INDEX(CATALOGOS!$B$56:$B$62,MATCH($M138,CATALOGOS!$A$56:$A$62,0)),0))</f>
        <v>0</v>
      </c>
      <c r="V138" s="21" t="str">
        <f t="shared" si="2"/>
        <v/>
      </c>
      <c r="W138" s="21">
        <f t="array" ref="W138">IF($D138="",0,IFERROR(INDEX(CATALOGOS!$C$6:$C$14,MATCH($D138,CATALOGOS!$A$6:$A$14,0)),0))</f>
        <v>0</v>
      </c>
      <c r="X138" s="21">
        <f t="array" ref="X138">IF($D138="",0,IFERROR(INDEX(CATALOGOS!$D$6:$D$14,MATCH($D138,CATALOGOS!$A$6:$A$14,0)),0))</f>
        <v>0</v>
      </c>
      <c r="Y138" s="21">
        <f t="array" ref="Y138">IF($D138="",0,IFERROR(INDEX(CATALOGOS!$E$6:$E$14,MATCH($D138,CATALOGOS!$A$6:$A$14,0)),0))</f>
        <v>0</v>
      </c>
      <c r="Z138" s="26" t="str">
        <f t="shared" si="3"/>
        <v/>
      </c>
    </row>
    <row r="139" ht="15.0" customHeight="1">
      <c r="A139" s="18" t="str">
        <f t="shared" si="1"/>
        <v/>
      </c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21" t="str">
        <f t="array" ref="Q139">IF($D139="","",IFERROR(INDEX(CATALOGOS!$B$6:$B$14,MATCH($D139,CATALOGOS!$A$6:$A$14,0)),0))</f>
        <v/>
      </c>
      <c r="R139" s="21">
        <f t="array" ref="R139">IF($E139="",0,IFERROR(INDEX(CATALOGOS!$B$19:$B$30,MATCH($E139,CATALOGOS!$A$19:$A$30,0)),0))</f>
        <v>0</v>
      </c>
      <c r="S139" s="21">
        <f t="array" ref="S139">IF($K139="",0,IFERROR(INDEX(CATALOGOS!$B$35:$B$42,MATCH($K139,CATALOGOS!$A$35:$A$42,0)),0))</f>
        <v>0</v>
      </c>
      <c r="T139" s="21">
        <f t="array" ref="T139">IF($J139="",0,IFERROR(INDEX(CATALOGOS!$B$47:$B$51,MATCH($J139,CATALOGOS!$A$47:$A$51,0)),0))</f>
        <v>0</v>
      </c>
      <c r="U139" s="21">
        <f t="array" ref="U139">IF($M139="",0,IFERROR(INDEX(CATALOGOS!$B$56:$B$62,MATCH($M139,CATALOGOS!$A$56:$A$62,0)),0))</f>
        <v>0</v>
      </c>
      <c r="V139" s="21" t="str">
        <f t="shared" si="2"/>
        <v/>
      </c>
      <c r="W139" s="21">
        <f t="array" ref="W139">IF($D139="",0,IFERROR(INDEX(CATALOGOS!$C$6:$C$14,MATCH($D139,CATALOGOS!$A$6:$A$14,0)),0))</f>
        <v>0</v>
      </c>
      <c r="X139" s="21">
        <f t="array" ref="X139">IF($D139="",0,IFERROR(INDEX(CATALOGOS!$D$6:$D$14,MATCH($D139,CATALOGOS!$A$6:$A$14,0)),0))</f>
        <v>0</v>
      </c>
      <c r="Y139" s="21">
        <f t="array" ref="Y139">IF($D139="",0,IFERROR(INDEX(CATALOGOS!$E$6:$E$14,MATCH($D139,CATALOGOS!$A$6:$A$14,0)),0))</f>
        <v>0</v>
      </c>
      <c r="Z139" s="26" t="str">
        <f t="shared" si="3"/>
        <v/>
      </c>
    </row>
    <row r="140" ht="15.0" customHeight="1">
      <c r="A140" s="18" t="str">
        <f t="shared" si="1"/>
        <v/>
      </c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21" t="str">
        <f t="array" ref="Q140">IF($D140="","",IFERROR(INDEX(CATALOGOS!$B$6:$B$14,MATCH($D140,CATALOGOS!$A$6:$A$14,0)),0))</f>
        <v/>
      </c>
      <c r="R140" s="21">
        <f t="array" ref="R140">IF($E140="",0,IFERROR(INDEX(CATALOGOS!$B$19:$B$30,MATCH($E140,CATALOGOS!$A$19:$A$30,0)),0))</f>
        <v>0</v>
      </c>
      <c r="S140" s="21">
        <f t="array" ref="S140">IF($K140="",0,IFERROR(INDEX(CATALOGOS!$B$35:$B$42,MATCH($K140,CATALOGOS!$A$35:$A$42,0)),0))</f>
        <v>0</v>
      </c>
      <c r="T140" s="21">
        <f t="array" ref="T140">IF($J140="",0,IFERROR(INDEX(CATALOGOS!$B$47:$B$51,MATCH($J140,CATALOGOS!$A$47:$A$51,0)),0))</f>
        <v>0</v>
      </c>
      <c r="U140" s="21">
        <f t="array" ref="U140">IF($M140="",0,IFERROR(INDEX(CATALOGOS!$B$56:$B$62,MATCH($M140,CATALOGOS!$A$56:$A$62,0)),0))</f>
        <v>0</v>
      </c>
      <c r="V140" s="21" t="str">
        <f t="shared" si="2"/>
        <v/>
      </c>
      <c r="W140" s="21">
        <f t="array" ref="W140">IF($D140="",0,IFERROR(INDEX(CATALOGOS!$C$6:$C$14,MATCH($D140,CATALOGOS!$A$6:$A$14,0)),0))</f>
        <v>0</v>
      </c>
      <c r="X140" s="21">
        <f t="array" ref="X140">IF($D140="",0,IFERROR(INDEX(CATALOGOS!$D$6:$D$14,MATCH($D140,CATALOGOS!$A$6:$A$14,0)),0))</f>
        <v>0</v>
      </c>
      <c r="Y140" s="21">
        <f t="array" ref="Y140">IF($D140="",0,IFERROR(INDEX(CATALOGOS!$E$6:$E$14,MATCH($D140,CATALOGOS!$A$6:$A$14,0)),0))</f>
        <v>0</v>
      </c>
      <c r="Z140" s="26" t="str">
        <f t="shared" si="3"/>
        <v/>
      </c>
    </row>
    <row r="141" ht="15.0" customHeight="1">
      <c r="A141" s="18" t="str">
        <f t="shared" si="1"/>
        <v/>
      </c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21" t="str">
        <f t="array" ref="Q141">IF($D141="","",IFERROR(INDEX(CATALOGOS!$B$6:$B$14,MATCH($D141,CATALOGOS!$A$6:$A$14,0)),0))</f>
        <v/>
      </c>
      <c r="R141" s="21">
        <f t="array" ref="R141">IF($E141="",0,IFERROR(INDEX(CATALOGOS!$B$19:$B$30,MATCH($E141,CATALOGOS!$A$19:$A$30,0)),0))</f>
        <v>0</v>
      </c>
      <c r="S141" s="21">
        <f t="array" ref="S141">IF($K141="",0,IFERROR(INDEX(CATALOGOS!$B$35:$B$42,MATCH($K141,CATALOGOS!$A$35:$A$42,0)),0))</f>
        <v>0</v>
      </c>
      <c r="T141" s="21">
        <f t="array" ref="T141">IF($J141="",0,IFERROR(INDEX(CATALOGOS!$B$47:$B$51,MATCH($J141,CATALOGOS!$A$47:$A$51,0)),0))</f>
        <v>0</v>
      </c>
      <c r="U141" s="21">
        <f t="array" ref="U141">IF($M141="",0,IFERROR(INDEX(CATALOGOS!$B$56:$B$62,MATCH($M141,CATALOGOS!$A$56:$A$62,0)),0))</f>
        <v>0</v>
      </c>
      <c r="V141" s="21" t="str">
        <f t="shared" si="2"/>
        <v/>
      </c>
      <c r="W141" s="21">
        <f t="array" ref="W141">IF($D141="",0,IFERROR(INDEX(CATALOGOS!$C$6:$C$14,MATCH($D141,CATALOGOS!$A$6:$A$14,0)),0))</f>
        <v>0</v>
      </c>
      <c r="X141" s="21">
        <f t="array" ref="X141">IF($D141="",0,IFERROR(INDEX(CATALOGOS!$D$6:$D$14,MATCH($D141,CATALOGOS!$A$6:$A$14,0)),0))</f>
        <v>0</v>
      </c>
      <c r="Y141" s="21">
        <f t="array" ref="Y141">IF($D141="",0,IFERROR(INDEX(CATALOGOS!$E$6:$E$14,MATCH($D141,CATALOGOS!$A$6:$A$14,0)),0))</f>
        <v>0</v>
      </c>
      <c r="Z141" s="26" t="str">
        <f t="shared" si="3"/>
        <v/>
      </c>
    </row>
    <row r="142" ht="15.0" customHeight="1">
      <c r="A142" s="18" t="str">
        <f t="shared" si="1"/>
        <v/>
      </c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21" t="str">
        <f t="array" ref="Q142">IF($D142="","",IFERROR(INDEX(CATALOGOS!$B$6:$B$14,MATCH($D142,CATALOGOS!$A$6:$A$14,0)),0))</f>
        <v/>
      </c>
      <c r="R142" s="21">
        <f t="array" ref="R142">IF($E142="",0,IFERROR(INDEX(CATALOGOS!$B$19:$B$30,MATCH($E142,CATALOGOS!$A$19:$A$30,0)),0))</f>
        <v>0</v>
      </c>
      <c r="S142" s="21">
        <f t="array" ref="S142">IF($K142="",0,IFERROR(INDEX(CATALOGOS!$B$35:$B$42,MATCH($K142,CATALOGOS!$A$35:$A$42,0)),0))</f>
        <v>0</v>
      </c>
      <c r="T142" s="21">
        <f t="array" ref="T142">IF($J142="",0,IFERROR(INDEX(CATALOGOS!$B$47:$B$51,MATCH($J142,CATALOGOS!$A$47:$A$51,0)),0))</f>
        <v>0</v>
      </c>
      <c r="U142" s="21">
        <f t="array" ref="U142">IF($M142="",0,IFERROR(INDEX(CATALOGOS!$B$56:$B$62,MATCH($M142,CATALOGOS!$A$56:$A$62,0)),0))</f>
        <v>0</v>
      </c>
      <c r="V142" s="21" t="str">
        <f t="shared" si="2"/>
        <v/>
      </c>
      <c r="W142" s="21">
        <f t="array" ref="W142">IF($D142="",0,IFERROR(INDEX(CATALOGOS!$C$6:$C$14,MATCH($D142,CATALOGOS!$A$6:$A$14,0)),0))</f>
        <v>0</v>
      </c>
      <c r="X142" s="21">
        <f t="array" ref="X142">IF($D142="",0,IFERROR(INDEX(CATALOGOS!$D$6:$D$14,MATCH($D142,CATALOGOS!$A$6:$A$14,0)),0))</f>
        <v>0</v>
      </c>
      <c r="Y142" s="21">
        <f t="array" ref="Y142">IF($D142="",0,IFERROR(INDEX(CATALOGOS!$E$6:$E$14,MATCH($D142,CATALOGOS!$A$6:$A$14,0)),0))</f>
        <v>0</v>
      </c>
      <c r="Z142" s="26" t="str">
        <f t="shared" si="3"/>
        <v/>
      </c>
    </row>
    <row r="143" ht="15.0" customHeight="1">
      <c r="A143" s="18" t="str">
        <f t="shared" si="1"/>
        <v/>
      </c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21" t="str">
        <f t="array" ref="Q143">IF($D143="","",IFERROR(INDEX(CATALOGOS!$B$6:$B$14,MATCH($D143,CATALOGOS!$A$6:$A$14,0)),0))</f>
        <v/>
      </c>
      <c r="R143" s="21">
        <f t="array" ref="R143">IF($E143="",0,IFERROR(INDEX(CATALOGOS!$B$19:$B$30,MATCH($E143,CATALOGOS!$A$19:$A$30,0)),0))</f>
        <v>0</v>
      </c>
      <c r="S143" s="21">
        <f t="array" ref="S143">IF($K143="",0,IFERROR(INDEX(CATALOGOS!$B$35:$B$42,MATCH($K143,CATALOGOS!$A$35:$A$42,0)),0))</f>
        <v>0</v>
      </c>
      <c r="T143" s="21">
        <f t="array" ref="T143">IF($J143="",0,IFERROR(INDEX(CATALOGOS!$B$47:$B$51,MATCH($J143,CATALOGOS!$A$47:$A$51,0)),0))</f>
        <v>0</v>
      </c>
      <c r="U143" s="21">
        <f t="array" ref="U143">IF($M143="",0,IFERROR(INDEX(CATALOGOS!$B$56:$B$62,MATCH($M143,CATALOGOS!$A$56:$A$62,0)),0))</f>
        <v>0</v>
      </c>
      <c r="V143" s="21" t="str">
        <f t="shared" si="2"/>
        <v/>
      </c>
      <c r="W143" s="21">
        <f t="array" ref="W143">IF($D143="",0,IFERROR(INDEX(CATALOGOS!$C$6:$C$14,MATCH($D143,CATALOGOS!$A$6:$A$14,0)),0))</f>
        <v>0</v>
      </c>
      <c r="X143" s="21">
        <f t="array" ref="X143">IF($D143="",0,IFERROR(INDEX(CATALOGOS!$D$6:$D$14,MATCH($D143,CATALOGOS!$A$6:$A$14,0)),0))</f>
        <v>0</v>
      </c>
      <c r="Y143" s="21">
        <f t="array" ref="Y143">IF($D143="",0,IFERROR(INDEX(CATALOGOS!$E$6:$E$14,MATCH($D143,CATALOGOS!$A$6:$A$14,0)),0))</f>
        <v>0</v>
      </c>
      <c r="Z143" s="26" t="str">
        <f t="shared" si="3"/>
        <v/>
      </c>
    </row>
    <row r="144" ht="15.0" customHeight="1">
      <c r="A144" s="18" t="str">
        <f t="shared" si="1"/>
        <v/>
      </c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21" t="str">
        <f t="array" ref="Q144">IF($D144="","",IFERROR(INDEX(CATALOGOS!$B$6:$B$14,MATCH($D144,CATALOGOS!$A$6:$A$14,0)),0))</f>
        <v/>
      </c>
      <c r="R144" s="21">
        <f t="array" ref="R144">IF($E144="",0,IFERROR(INDEX(CATALOGOS!$B$19:$B$30,MATCH($E144,CATALOGOS!$A$19:$A$30,0)),0))</f>
        <v>0</v>
      </c>
      <c r="S144" s="21">
        <f t="array" ref="S144">IF($K144="",0,IFERROR(INDEX(CATALOGOS!$B$35:$B$42,MATCH($K144,CATALOGOS!$A$35:$A$42,0)),0))</f>
        <v>0</v>
      </c>
      <c r="T144" s="21">
        <f t="array" ref="T144">IF($J144="",0,IFERROR(INDEX(CATALOGOS!$B$47:$B$51,MATCH($J144,CATALOGOS!$A$47:$A$51,0)),0))</f>
        <v>0</v>
      </c>
      <c r="U144" s="21">
        <f t="array" ref="U144">IF($M144="",0,IFERROR(INDEX(CATALOGOS!$B$56:$B$62,MATCH($M144,CATALOGOS!$A$56:$A$62,0)),0))</f>
        <v>0</v>
      </c>
      <c r="V144" s="21" t="str">
        <f t="shared" si="2"/>
        <v/>
      </c>
      <c r="W144" s="21">
        <f t="array" ref="W144">IF($D144="",0,IFERROR(INDEX(CATALOGOS!$C$6:$C$14,MATCH($D144,CATALOGOS!$A$6:$A$14,0)),0))</f>
        <v>0</v>
      </c>
      <c r="X144" s="21">
        <f t="array" ref="X144">IF($D144="",0,IFERROR(INDEX(CATALOGOS!$D$6:$D$14,MATCH($D144,CATALOGOS!$A$6:$A$14,0)),0))</f>
        <v>0</v>
      </c>
      <c r="Y144" s="21">
        <f t="array" ref="Y144">IF($D144="",0,IFERROR(INDEX(CATALOGOS!$E$6:$E$14,MATCH($D144,CATALOGOS!$A$6:$A$14,0)),0))</f>
        <v>0</v>
      </c>
      <c r="Z144" s="26" t="str">
        <f t="shared" si="3"/>
        <v/>
      </c>
    </row>
    <row r="145" ht="15.0" customHeight="1">
      <c r="A145" s="18" t="str">
        <f t="shared" si="1"/>
        <v/>
      </c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21" t="str">
        <f t="array" ref="Q145">IF($D145="","",IFERROR(INDEX(CATALOGOS!$B$6:$B$14,MATCH($D145,CATALOGOS!$A$6:$A$14,0)),0))</f>
        <v/>
      </c>
      <c r="R145" s="21">
        <f t="array" ref="R145">IF($E145="",0,IFERROR(INDEX(CATALOGOS!$B$19:$B$30,MATCH($E145,CATALOGOS!$A$19:$A$30,0)),0))</f>
        <v>0</v>
      </c>
      <c r="S145" s="21">
        <f t="array" ref="S145">IF($K145="",0,IFERROR(INDEX(CATALOGOS!$B$35:$B$42,MATCH($K145,CATALOGOS!$A$35:$A$42,0)),0))</f>
        <v>0</v>
      </c>
      <c r="T145" s="21">
        <f t="array" ref="T145">IF($J145="",0,IFERROR(INDEX(CATALOGOS!$B$47:$B$51,MATCH($J145,CATALOGOS!$A$47:$A$51,0)),0))</f>
        <v>0</v>
      </c>
      <c r="U145" s="21">
        <f t="array" ref="U145">IF($M145="",0,IFERROR(INDEX(CATALOGOS!$B$56:$B$62,MATCH($M145,CATALOGOS!$A$56:$A$62,0)),0))</f>
        <v>0</v>
      </c>
      <c r="V145" s="21" t="str">
        <f t="shared" si="2"/>
        <v/>
      </c>
      <c r="W145" s="21">
        <f t="array" ref="W145">IF($D145="",0,IFERROR(INDEX(CATALOGOS!$C$6:$C$14,MATCH($D145,CATALOGOS!$A$6:$A$14,0)),0))</f>
        <v>0</v>
      </c>
      <c r="X145" s="21">
        <f t="array" ref="X145">IF($D145="",0,IFERROR(INDEX(CATALOGOS!$D$6:$D$14,MATCH($D145,CATALOGOS!$A$6:$A$14,0)),0))</f>
        <v>0</v>
      </c>
      <c r="Y145" s="21">
        <f t="array" ref="Y145">IF($D145="",0,IFERROR(INDEX(CATALOGOS!$E$6:$E$14,MATCH($D145,CATALOGOS!$A$6:$A$14,0)),0))</f>
        <v>0</v>
      </c>
      <c r="Z145" s="26" t="str">
        <f t="shared" si="3"/>
        <v/>
      </c>
    </row>
    <row r="146" ht="15.0" customHeight="1">
      <c r="A146" s="18" t="str">
        <f t="shared" si="1"/>
        <v/>
      </c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21" t="str">
        <f t="array" ref="Q146">IF($D146="","",IFERROR(INDEX(CATALOGOS!$B$6:$B$14,MATCH($D146,CATALOGOS!$A$6:$A$14,0)),0))</f>
        <v/>
      </c>
      <c r="R146" s="21">
        <f t="array" ref="R146">IF($E146="",0,IFERROR(INDEX(CATALOGOS!$B$19:$B$30,MATCH($E146,CATALOGOS!$A$19:$A$30,0)),0))</f>
        <v>0</v>
      </c>
      <c r="S146" s="21">
        <f t="array" ref="S146">IF($K146="",0,IFERROR(INDEX(CATALOGOS!$B$35:$B$42,MATCH($K146,CATALOGOS!$A$35:$A$42,0)),0))</f>
        <v>0</v>
      </c>
      <c r="T146" s="21">
        <f t="array" ref="T146">IF($J146="",0,IFERROR(INDEX(CATALOGOS!$B$47:$B$51,MATCH($J146,CATALOGOS!$A$47:$A$51,0)),0))</f>
        <v>0</v>
      </c>
      <c r="U146" s="21">
        <f t="array" ref="U146">IF($M146="",0,IFERROR(INDEX(CATALOGOS!$B$56:$B$62,MATCH($M146,CATALOGOS!$A$56:$A$62,0)),0))</f>
        <v>0</v>
      </c>
      <c r="V146" s="21" t="str">
        <f t="shared" si="2"/>
        <v/>
      </c>
      <c r="W146" s="21">
        <f t="array" ref="W146">IF($D146="",0,IFERROR(INDEX(CATALOGOS!$C$6:$C$14,MATCH($D146,CATALOGOS!$A$6:$A$14,0)),0))</f>
        <v>0</v>
      </c>
      <c r="X146" s="21">
        <f t="array" ref="X146">IF($D146="",0,IFERROR(INDEX(CATALOGOS!$D$6:$D$14,MATCH($D146,CATALOGOS!$A$6:$A$14,0)),0))</f>
        <v>0</v>
      </c>
      <c r="Y146" s="21">
        <f t="array" ref="Y146">IF($D146="",0,IFERROR(INDEX(CATALOGOS!$E$6:$E$14,MATCH($D146,CATALOGOS!$A$6:$A$14,0)),0))</f>
        <v>0</v>
      </c>
      <c r="Z146" s="26" t="str">
        <f t="shared" si="3"/>
        <v/>
      </c>
    </row>
    <row r="147" ht="15.0" customHeight="1">
      <c r="A147" s="18" t="str">
        <f t="shared" si="1"/>
        <v/>
      </c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21" t="str">
        <f t="array" ref="Q147">IF($D147="","",IFERROR(INDEX(CATALOGOS!$B$6:$B$14,MATCH($D147,CATALOGOS!$A$6:$A$14,0)),0))</f>
        <v/>
      </c>
      <c r="R147" s="21">
        <f t="array" ref="R147">IF($E147="",0,IFERROR(INDEX(CATALOGOS!$B$19:$B$30,MATCH($E147,CATALOGOS!$A$19:$A$30,0)),0))</f>
        <v>0</v>
      </c>
      <c r="S147" s="21">
        <f t="array" ref="S147">IF($K147="",0,IFERROR(INDEX(CATALOGOS!$B$35:$B$42,MATCH($K147,CATALOGOS!$A$35:$A$42,0)),0))</f>
        <v>0</v>
      </c>
      <c r="T147" s="21">
        <f t="array" ref="T147">IF($J147="",0,IFERROR(INDEX(CATALOGOS!$B$47:$B$51,MATCH($J147,CATALOGOS!$A$47:$A$51,0)),0))</f>
        <v>0</v>
      </c>
      <c r="U147" s="21">
        <f t="array" ref="U147">IF($M147="",0,IFERROR(INDEX(CATALOGOS!$B$56:$B$62,MATCH($M147,CATALOGOS!$A$56:$A$62,0)),0))</f>
        <v>0</v>
      </c>
      <c r="V147" s="21" t="str">
        <f t="shared" si="2"/>
        <v/>
      </c>
      <c r="W147" s="21">
        <f t="array" ref="W147">IF($D147="",0,IFERROR(INDEX(CATALOGOS!$C$6:$C$14,MATCH($D147,CATALOGOS!$A$6:$A$14,0)),0))</f>
        <v>0</v>
      </c>
      <c r="X147" s="21">
        <f t="array" ref="X147">IF($D147="",0,IFERROR(INDEX(CATALOGOS!$D$6:$D$14,MATCH($D147,CATALOGOS!$A$6:$A$14,0)),0))</f>
        <v>0</v>
      </c>
      <c r="Y147" s="21">
        <f t="array" ref="Y147">IF($D147="",0,IFERROR(INDEX(CATALOGOS!$E$6:$E$14,MATCH($D147,CATALOGOS!$A$6:$A$14,0)),0))</f>
        <v>0</v>
      </c>
      <c r="Z147" s="26" t="str">
        <f t="shared" si="3"/>
        <v/>
      </c>
    </row>
    <row r="148" ht="15.0" customHeight="1">
      <c r="A148" s="18" t="str">
        <f t="shared" si="1"/>
        <v/>
      </c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21" t="str">
        <f t="array" ref="Q148">IF($D148="","",IFERROR(INDEX(CATALOGOS!$B$6:$B$14,MATCH($D148,CATALOGOS!$A$6:$A$14,0)),0))</f>
        <v/>
      </c>
      <c r="R148" s="21">
        <f t="array" ref="R148">IF($E148="",0,IFERROR(INDEX(CATALOGOS!$B$19:$B$30,MATCH($E148,CATALOGOS!$A$19:$A$30,0)),0))</f>
        <v>0</v>
      </c>
      <c r="S148" s="21">
        <f t="array" ref="S148">IF($K148="",0,IFERROR(INDEX(CATALOGOS!$B$35:$B$42,MATCH($K148,CATALOGOS!$A$35:$A$42,0)),0))</f>
        <v>0</v>
      </c>
      <c r="T148" s="21">
        <f t="array" ref="T148">IF($J148="",0,IFERROR(INDEX(CATALOGOS!$B$47:$B$51,MATCH($J148,CATALOGOS!$A$47:$A$51,0)),0))</f>
        <v>0</v>
      </c>
      <c r="U148" s="21">
        <f t="array" ref="U148">IF($M148="",0,IFERROR(INDEX(CATALOGOS!$B$56:$B$62,MATCH($M148,CATALOGOS!$A$56:$A$62,0)),0))</f>
        <v>0</v>
      </c>
      <c r="V148" s="21" t="str">
        <f t="shared" si="2"/>
        <v/>
      </c>
      <c r="W148" s="21">
        <f t="array" ref="W148">IF($D148="",0,IFERROR(INDEX(CATALOGOS!$C$6:$C$14,MATCH($D148,CATALOGOS!$A$6:$A$14,0)),0))</f>
        <v>0</v>
      </c>
      <c r="X148" s="21">
        <f t="array" ref="X148">IF($D148="",0,IFERROR(INDEX(CATALOGOS!$D$6:$D$14,MATCH($D148,CATALOGOS!$A$6:$A$14,0)),0))</f>
        <v>0</v>
      </c>
      <c r="Y148" s="21">
        <f t="array" ref="Y148">IF($D148="",0,IFERROR(INDEX(CATALOGOS!$E$6:$E$14,MATCH($D148,CATALOGOS!$A$6:$A$14,0)),0))</f>
        <v>0</v>
      </c>
      <c r="Z148" s="26" t="str">
        <f t="shared" si="3"/>
        <v/>
      </c>
    </row>
    <row r="149" ht="15.0" customHeight="1">
      <c r="A149" s="18" t="str">
        <f t="shared" si="1"/>
        <v/>
      </c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21" t="str">
        <f t="array" ref="Q149">IF($D149="","",IFERROR(INDEX(CATALOGOS!$B$6:$B$14,MATCH($D149,CATALOGOS!$A$6:$A$14,0)),0))</f>
        <v/>
      </c>
      <c r="R149" s="21">
        <f t="array" ref="R149">IF($E149="",0,IFERROR(INDEX(CATALOGOS!$B$19:$B$30,MATCH($E149,CATALOGOS!$A$19:$A$30,0)),0))</f>
        <v>0</v>
      </c>
      <c r="S149" s="21">
        <f t="array" ref="S149">IF($K149="",0,IFERROR(INDEX(CATALOGOS!$B$35:$B$42,MATCH($K149,CATALOGOS!$A$35:$A$42,0)),0))</f>
        <v>0</v>
      </c>
      <c r="T149" s="21">
        <f t="array" ref="T149">IF($J149="",0,IFERROR(INDEX(CATALOGOS!$B$47:$B$51,MATCH($J149,CATALOGOS!$A$47:$A$51,0)),0))</f>
        <v>0</v>
      </c>
      <c r="U149" s="21">
        <f t="array" ref="U149">IF($M149="",0,IFERROR(INDEX(CATALOGOS!$B$56:$B$62,MATCH($M149,CATALOGOS!$A$56:$A$62,0)),0))</f>
        <v>0</v>
      </c>
      <c r="V149" s="21" t="str">
        <f t="shared" si="2"/>
        <v/>
      </c>
      <c r="W149" s="21">
        <f t="array" ref="W149">IF($D149="",0,IFERROR(INDEX(CATALOGOS!$C$6:$C$14,MATCH($D149,CATALOGOS!$A$6:$A$14,0)),0))</f>
        <v>0</v>
      </c>
      <c r="X149" s="21">
        <f t="array" ref="X149">IF($D149="",0,IFERROR(INDEX(CATALOGOS!$D$6:$D$14,MATCH($D149,CATALOGOS!$A$6:$A$14,0)),0))</f>
        <v>0</v>
      </c>
      <c r="Y149" s="21">
        <f t="array" ref="Y149">IF($D149="",0,IFERROR(INDEX(CATALOGOS!$E$6:$E$14,MATCH($D149,CATALOGOS!$A$6:$A$14,0)),0))</f>
        <v>0</v>
      </c>
      <c r="Z149" s="26" t="str">
        <f t="shared" si="3"/>
        <v/>
      </c>
    </row>
    <row r="150" ht="15.0" customHeight="1">
      <c r="A150" s="18" t="str">
        <f t="shared" si="1"/>
        <v/>
      </c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21" t="str">
        <f t="array" ref="Q150">IF($D150="","",IFERROR(INDEX(CATALOGOS!$B$6:$B$14,MATCH($D150,CATALOGOS!$A$6:$A$14,0)),0))</f>
        <v/>
      </c>
      <c r="R150" s="21">
        <f t="array" ref="R150">IF($E150="",0,IFERROR(INDEX(CATALOGOS!$B$19:$B$30,MATCH($E150,CATALOGOS!$A$19:$A$30,0)),0))</f>
        <v>0</v>
      </c>
      <c r="S150" s="21">
        <f t="array" ref="S150">IF($K150="",0,IFERROR(INDEX(CATALOGOS!$B$35:$B$42,MATCH($K150,CATALOGOS!$A$35:$A$42,0)),0))</f>
        <v>0</v>
      </c>
      <c r="T150" s="21">
        <f t="array" ref="T150">IF($J150="",0,IFERROR(INDEX(CATALOGOS!$B$47:$B$51,MATCH($J150,CATALOGOS!$A$47:$A$51,0)),0))</f>
        <v>0</v>
      </c>
      <c r="U150" s="21">
        <f t="array" ref="U150">IF($M150="",0,IFERROR(INDEX(CATALOGOS!$B$56:$B$62,MATCH($M150,CATALOGOS!$A$56:$A$62,0)),0))</f>
        <v>0</v>
      </c>
      <c r="V150" s="21" t="str">
        <f t="shared" si="2"/>
        <v/>
      </c>
      <c r="W150" s="21">
        <f t="array" ref="W150">IF($D150="",0,IFERROR(INDEX(CATALOGOS!$C$6:$C$14,MATCH($D150,CATALOGOS!$A$6:$A$14,0)),0))</f>
        <v>0</v>
      </c>
      <c r="X150" s="21">
        <f t="array" ref="X150">IF($D150="",0,IFERROR(INDEX(CATALOGOS!$D$6:$D$14,MATCH($D150,CATALOGOS!$A$6:$A$14,0)),0))</f>
        <v>0</v>
      </c>
      <c r="Y150" s="21">
        <f t="array" ref="Y150">IF($D150="",0,IFERROR(INDEX(CATALOGOS!$E$6:$E$14,MATCH($D150,CATALOGOS!$A$6:$A$14,0)),0))</f>
        <v>0</v>
      </c>
      <c r="Z150" s="26" t="str">
        <f t="shared" si="3"/>
        <v/>
      </c>
    </row>
    <row r="151" ht="15.0" customHeight="1">
      <c r="A151" s="18" t="str">
        <f t="shared" si="1"/>
        <v/>
      </c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21" t="str">
        <f t="array" ref="Q151">IF($D151="","",IFERROR(INDEX(CATALOGOS!$B$6:$B$14,MATCH($D151,CATALOGOS!$A$6:$A$14,0)),0))</f>
        <v/>
      </c>
      <c r="R151" s="21">
        <f t="array" ref="R151">IF($E151="",0,IFERROR(INDEX(CATALOGOS!$B$19:$B$30,MATCH($E151,CATALOGOS!$A$19:$A$30,0)),0))</f>
        <v>0</v>
      </c>
      <c r="S151" s="21">
        <f t="array" ref="S151">IF($K151="",0,IFERROR(INDEX(CATALOGOS!$B$35:$B$42,MATCH($K151,CATALOGOS!$A$35:$A$42,0)),0))</f>
        <v>0</v>
      </c>
      <c r="T151" s="21">
        <f t="array" ref="T151">IF($J151="",0,IFERROR(INDEX(CATALOGOS!$B$47:$B$51,MATCH($J151,CATALOGOS!$A$47:$A$51,0)),0))</f>
        <v>0</v>
      </c>
      <c r="U151" s="21">
        <f t="array" ref="U151">IF($M151="",0,IFERROR(INDEX(CATALOGOS!$B$56:$B$62,MATCH($M151,CATALOGOS!$A$56:$A$62,0)),0))</f>
        <v>0</v>
      </c>
      <c r="V151" s="21" t="str">
        <f t="shared" si="2"/>
        <v/>
      </c>
      <c r="W151" s="21">
        <f t="array" ref="W151">IF($D151="",0,IFERROR(INDEX(CATALOGOS!$C$6:$C$14,MATCH($D151,CATALOGOS!$A$6:$A$14,0)),0))</f>
        <v>0</v>
      </c>
      <c r="X151" s="21">
        <f t="array" ref="X151">IF($D151="",0,IFERROR(INDEX(CATALOGOS!$D$6:$D$14,MATCH($D151,CATALOGOS!$A$6:$A$14,0)),0))</f>
        <v>0</v>
      </c>
      <c r="Y151" s="21">
        <f t="array" ref="Y151">IF($D151="",0,IFERROR(INDEX(CATALOGOS!$E$6:$E$14,MATCH($D151,CATALOGOS!$A$6:$A$14,0)),0))</f>
        <v>0</v>
      </c>
      <c r="Z151" s="26" t="str">
        <f t="shared" si="3"/>
        <v/>
      </c>
    </row>
    <row r="152" ht="15.0" customHeight="1">
      <c r="A152" s="18" t="str">
        <f t="shared" si="1"/>
        <v/>
      </c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21" t="str">
        <f t="array" ref="Q152">IF($D152="","",IFERROR(INDEX(CATALOGOS!$B$6:$B$14,MATCH($D152,CATALOGOS!$A$6:$A$14,0)),0))</f>
        <v/>
      </c>
      <c r="R152" s="21">
        <f t="array" ref="R152">IF($E152="",0,IFERROR(INDEX(CATALOGOS!$B$19:$B$30,MATCH($E152,CATALOGOS!$A$19:$A$30,0)),0))</f>
        <v>0</v>
      </c>
      <c r="S152" s="21">
        <f t="array" ref="S152">IF($K152="",0,IFERROR(INDEX(CATALOGOS!$B$35:$B$42,MATCH($K152,CATALOGOS!$A$35:$A$42,0)),0))</f>
        <v>0</v>
      </c>
      <c r="T152" s="21">
        <f t="array" ref="T152">IF($J152="",0,IFERROR(INDEX(CATALOGOS!$B$47:$B$51,MATCH($J152,CATALOGOS!$A$47:$A$51,0)),0))</f>
        <v>0</v>
      </c>
      <c r="U152" s="21">
        <f t="array" ref="U152">IF($M152="",0,IFERROR(INDEX(CATALOGOS!$B$56:$B$62,MATCH($M152,CATALOGOS!$A$56:$A$62,0)),0))</f>
        <v>0</v>
      </c>
      <c r="V152" s="21" t="str">
        <f t="shared" si="2"/>
        <v/>
      </c>
      <c r="W152" s="21">
        <f t="array" ref="W152">IF($D152="",0,IFERROR(INDEX(CATALOGOS!$C$6:$C$14,MATCH($D152,CATALOGOS!$A$6:$A$14,0)),0))</f>
        <v>0</v>
      </c>
      <c r="X152" s="21">
        <f t="array" ref="X152">IF($D152="",0,IFERROR(INDEX(CATALOGOS!$D$6:$D$14,MATCH($D152,CATALOGOS!$A$6:$A$14,0)),0))</f>
        <v>0</v>
      </c>
      <c r="Y152" s="21">
        <f t="array" ref="Y152">IF($D152="",0,IFERROR(INDEX(CATALOGOS!$E$6:$E$14,MATCH($D152,CATALOGOS!$A$6:$A$14,0)),0))</f>
        <v>0</v>
      </c>
      <c r="Z152" s="26" t="str">
        <f t="shared" si="3"/>
        <v/>
      </c>
    </row>
    <row r="153" ht="15.0" customHeight="1">
      <c r="A153" s="18" t="str">
        <f t="shared" si="1"/>
        <v/>
      </c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21" t="str">
        <f t="array" ref="Q153">IF($D153="","",IFERROR(INDEX(CATALOGOS!$B$6:$B$14,MATCH($D153,CATALOGOS!$A$6:$A$14,0)),0))</f>
        <v/>
      </c>
      <c r="R153" s="21">
        <f t="array" ref="R153">IF($E153="",0,IFERROR(INDEX(CATALOGOS!$B$19:$B$30,MATCH($E153,CATALOGOS!$A$19:$A$30,0)),0))</f>
        <v>0</v>
      </c>
      <c r="S153" s="21">
        <f t="array" ref="S153">IF($K153="",0,IFERROR(INDEX(CATALOGOS!$B$35:$B$42,MATCH($K153,CATALOGOS!$A$35:$A$42,0)),0))</f>
        <v>0</v>
      </c>
      <c r="T153" s="21">
        <f t="array" ref="T153">IF($J153="",0,IFERROR(INDEX(CATALOGOS!$B$47:$B$51,MATCH($J153,CATALOGOS!$A$47:$A$51,0)),0))</f>
        <v>0</v>
      </c>
      <c r="U153" s="21">
        <f t="array" ref="U153">IF($M153="",0,IFERROR(INDEX(CATALOGOS!$B$56:$B$62,MATCH($M153,CATALOGOS!$A$56:$A$62,0)),0))</f>
        <v>0</v>
      </c>
      <c r="V153" s="21" t="str">
        <f t="shared" si="2"/>
        <v/>
      </c>
      <c r="W153" s="21">
        <f t="array" ref="W153">IF($D153="",0,IFERROR(INDEX(CATALOGOS!$C$6:$C$14,MATCH($D153,CATALOGOS!$A$6:$A$14,0)),0))</f>
        <v>0</v>
      </c>
      <c r="X153" s="21">
        <f t="array" ref="X153">IF($D153="",0,IFERROR(INDEX(CATALOGOS!$D$6:$D$14,MATCH($D153,CATALOGOS!$A$6:$A$14,0)),0))</f>
        <v>0</v>
      </c>
      <c r="Y153" s="21">
        <f t="array" ref="Y153">IF($D153="",0,IFERROR(INDEX(CATALOGOS!$E$6:$E$14,MATCH($D153,CATALOGOS!$A$6:$A$14,0)),0))</f>
        <v>0</v>
      </c>
      <c r="Z153" s="26" t="str">
        <f t="shared" si="3"/>
        <v/>
      </c>
    </row>
    <row r="154" ht="15.0" customHeight="1">
      <c r="A154" s="18" t="str">
        <f t="shared" si="1"/>
        <v/>
      </c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21" t="str">
        <f t="array" ref="Q154">IF($D154="","",IFERROR(INDEX(CATALOGOS!$B$6:$B$14,MATCH($D154,CATALOGOS!$A$6:$A$14,0)),0))</f>
        <v/>
      </c>
      <c r="R154" s="21">
        <f t="array" ref="R154">IF($E154="",0,IFERROR(INDEX(CATALOGOS!$B$19:$B$30,MATCH($E154,CATALOGOS!$A$19:$A$30,0)),0))</f>
        <v>0</v>
      </c>
      <c r="S154" s="21">
        <f t="array" ref="S154">IF($K154="",0,IFERROR(INDEX(CATALOGOS!$B$35:$B$42,MATCH($K154,CATALOGOS!$A$35:$A$42,0)),0))</f>
        <v>0</v>
      </c>
      <c r="T154" s="21">
        <f t="array" ref="T154">IF($J154="",0,IFERROR(INDEX(CATALOGOS!$B$47:$B$51,MATCH($J154,CATALOGOS!$A$47:$A$51,0)),0))</f>
        <v>0</v>
      </c>
      <c r="U154" s="21">
        <f t="array" ref="U154">IF($M154="",0,IFERROR(INDEX(CATALOGOS!$B$56:$B$62,MATCH($M154,CATALOGOS!$A$56:$A$62,0)),0))</f>
        <v>0</v>
      </c>
      <c r="V154" s="21" t="str">
        <f t="shared" si="2"/>
        <v/>
      </c>
      <c r="W154" s="21">
        <f t="array" ref="W154">IF($D154="",0,IFERROR(INDEX(CATALOGOS!$C$6:$C$14,MATCH($D154,CATALOGOS!$A$6:$A$14,0)),0))</f>
        <v>0</v>
      </c>
      <c r="X154" s="21">
        <f t="array" ref="X154">IF($D154="",0,IFERROR(INDEX(CATALOGOS!$D$6:$D$14,MATCH($D154,CATALOGOS!$A$6:$A$14,0)),0))</f>
        <v>0</v>
      </c>
      <c r="Y154" s="21">
        <f t="array" ref="Y154">IF($D154="",0,IFERROR(INDEX(CATALOGOS!$E$6:$E$14,MATCH($D154,CATALOGOS!$A$6:$A$14,0)),0))</f>
        <v>0</v>
      </c>
      <c r="Z154" s="26" t="str">
        <f t="shared" si="3"/>
        <v/>
      </c>
    </row>
    <row r="155" ht="15.0" customHeight="1">
      <c r="A155" s="18" t="str">
        <f t="shared" si="1"/>
        <v/>
      </c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21" t="str">
        <f t="array" ref="Q155">IF($D155="","",IFERROR(INDEX(CATALOGOS!$B$6:$B$14,MATCH($D155,CATALOGOS!$A$6:$A$14,0)),0))</f>
        <v/>
      </c>
      <c r="R155" s="21">
        <f t="array" ref="R155">IF($E155="",0,IFERROR(INDEX(CATALOGOS!$B$19:$B$30,MATCH($E155,CATALOGOS!$A$19:$A$30,0)),0))</f>
        <v>0</v>
      </c>
      <c r="S155" s="21">
        <f t="array" ref="S155">IF($K155="",0,IFERROR(INDEX(CATALOGOS!$B$35:$B$42,MATCH($K155,CATALOGOS!$A$35:$A$42,0)),0))</f>
        <v>0</v>
      </c>
      <c r="T155" s="21">
        <f t="array" ref="T155">IF($J155="",0,IFERROR(INDEX(CATALOGOS!$B$47:$B$51,MATCH($J155,CATALOGOS!$A$47:$A$51,0)),0))</f>
        <v>0</v>
      </c>
      <c r="U155" s="21">
        <f t="array" ref="U155">IF($M155="",0,IFERROR(INDEX(CATALOGOS!$B$56:$B$62,MATCH($M155,CATALOGOS!$A$56:$A$62,0)),0))</f>
        <v>0</v>
      </c>
      <c r="V155" s="21" t="str">
        <f t="shared" si="2"/>
        <v/>
      </c>
      <c r="W155" s="21">
        <f t="array" ref="W155">IF($D155="",0,IFERROR(INDEX(CATALOGOS!$C$6:$C$14,MATCH($D155,CATALOGOS!$A$6:$A$14,0)),0))</f>
        <v>0</v>
      </c>
      <c r="X155" s="21">
        <f t="array" ref="X155">IF($D155="",0,IFERROR(INDEX(CATALOGOS!$D$6:$D$14,MATCH($D155,CATALOGOS!$A$6:$A$14,0)),0))</f>
        <v>0</v>
      </c>
      <c r="Y155" s="21">
        <f t="array" ref="Y155">IF($D155="",0,IFERROR(INDEX(CATALOGOS!$E$6:$E$14,MATCH($D155,CATALOGOS!$A$6:$A$14,0)),0))</f>
        <v>0</v>
      </c>
      <c r="Z155" s="26" t="str">
        <f t="shared" si="3"/>
        <v/>
      </c>
    </row>
    <row r="156" ht="15.0" customHeight="1">
      <c r="A156" s="18" t="str">
        <f t="shared" si="1"/>
        <v/>
      </c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21" t="str">
        <f t="array" ref="Q156">IF($D156="","",IFERROR(INDEX(CATALOGOS!$B$6:$B$14,MATCH($D156,CATALOGOS!$A$6:$A$14,0)),0))</f>
        <v/>
      </c>
      <c r="R156" s="21">
        <f t="array" ref="R156">IF($E156="",0,IFERROR(INDEX(CATALOGOS!$B$19:$B$30,MATCH($E156,CATALOGOS!$A$19:$A$30,0)),0))</f>
        <v>0</v>
      </c>
      <c r="S156" s="21">
        <f t="array" ref="S156">IF($K156="",0,IFERROR(INDEX(CATALOGOS!$B$35:$B$42,MATCH($K156,CATALOGOS!$A$35:$A$42,0)),0))</f>
        <v>0</v>
      </c>
      <c r="T156" s="21">
        <f t="array" ref="T156">IF($J156="",0,IFERROR(INDEX(CATALOGOS!$B$47:$B$51,MATCH($J156,CATALOGOS!$A$47:$A$51,0)),0))</f>
        <v>0</v>
      </c>
      <c r="U156" s="21">
        <f t="array" ref="U156">IF($M156="",0,IFERROR(INDEX(CATALOGOS!$B$56:$B$62,MATCH($M156,CATALOGOS!$A$56:$A$62,0)),0))</f>
        <v>0</v>
      </c>
      <c r="V156" s="21" t="str">
        <f t="shared" si="2"/>
        <v/>
      </c>
      <c r="W156" s="21">
        <f t="array" ref="W156">IF($D156="",0,IFERROR(INDEX(CATALOGOS!$C$6:$C$14,MATCH($D156,CATALOGOS!$A$6:$A$14,0)),0))</f>
        <v>0</v>
      </c>
      <c r="X156" s="21">
        <f t="array" ref="X156">IF($D156="",0,IFERROR(INDEX(CATALOGOS!$D$6:$D$14,MATCH($D156,CATALOGOS!$A$6:$A$14,0)),0))</f>
        <v>0</v>
      </c>
      <c r="Y156" s="21">
        <f t="array" ref="Y156">IF($D156="",0,IFERROR(INDEX(CATALOGOS!$E$6:$E$14,MATCH($D156,CATALOGOS!$A$6:$A$14,0)),0))</f>
        <v>0</v>
      </c>
      <c r="Z156" s="26" t="str">
        <f t="shared" si="3"/>
        <v/>
      </c>
    </row>
    <row r="157" ht="15.0" customHeight="1">
      <c r="A157" s="18" t="str">
        <f t="shared" si="1"/>
        <v/>
      </c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21" t="str">
        <f t="array" ref="Q157">IF($D157="","",IFERROR(INDEX(CATALOGOS!$B$6:$B$14,MATCH($D157,CATALOGOS!$A$6:$A$14,0)),0))</f>
        <v/>
      </c>
      <c r="R157" s="21">
        <f t="array" ref="R157">IF($E157="",0,IFERROR(INDEX(CATALOGOS!$B$19:$B$30,MATCH($E157,CATALOGOS!$A$19:$A$30,0)),0))</f>
        <v>0</v>
      </c>
      <c r="S157" s="21">
        <f t="array" ref="S157">IF($K157="",0,IFERROR(INDEX(CATALOGOS!$B$35:$B$42,MATCH($K157,CATALOGOS!$A$35:$A$42,0)),0))</f>
        <v>0</v>
      </c>
      <c r="T157" s="21">
        <f t="array" ref="T157">IF($J157="",0,IFERROR(INDEX(CATALOGOS!$B$47:$B$51,MATCH($J157,CATALOGOS!$A$47:$A$51,0)),0))</f>
        <v>0</v>
      </c>
      <c r="U157" s="21">
        <f t="array" ref="U157">IF($M157="",0,IFERROR(INDEX(CATALOGOS!$B$56:$B$62,MATCH($M157,CATALOGOS!$A$56:$A$62,0)),0))</f>
        <v>0</v>
      </c>
      <c r="V157" s="21" t="str">
        <f t="shared" si="2"/>
        <v/>
      </c>
      <c r="W157" s="21">
        <f t="array" ref="W157">IF($D157="",0,IFERROR(INDEX(CATALOGOS!$C$6:$C$14,MATCH($D157,CATALOGOS!$A$6:$A$14,0)),0))</f>
        <v>0</v>
      </c>
      <c r="X157" s="21">
        <f t="array" ref="X157">IF($D157="",0,IFERROR(INDEX(CATALOGOS!$D$6:$D$14,MATCH($D157,CATALOGOS!$A$6:$A$14,0)),0))</f>
        <v>0</v>
      </c>
      <c r="Y157" s="21">
        <f t="array" ref="Y157">IF($D157="",0,IFERROR(INDEX(CATALOGOS!$E$6:$E$14,MATCH($D157,CATALOGOS!$A$6:$A$14,0)),0))</f>
        <v>0</v>
      </c>
      <c r="Z157" s="26" t="str">
        <f t="shared" si="3"/>
        <v/>
      </c>
    </row>
    <row r="158" ht="15.0" customHeight="1">
      <c r="A158" s="18" t="str">
        <f t="shared" si="1"/>
        <v/>
      </c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21" t="str">
        <f t="array" ref="Q158">IF($D158="","",IFERROR(INDEX(CATALOGOS!$B$6:$B$14,MATCH($D158,CATALOGOS!$A$6:$A$14,0)),0))</f>
        <v/>
      </c>
      <c r="R158" s="21">
        <f t="array" ref="R158">IF($E158="",0,IFERROR(INDEX(CATALOGOS!$B$19:$B$30,MATCH($E158,CATALOGOS!$A$19:$A$30,0)),0))</f>
        <v>0</v>
      </c>
      <c r="S158" s="21">
        <f t="array" ref="S158">IF($K158="",0,IFERROR(INDEX(CATALOGOS!$B$35:$B$42,MATCH($K158,CATALOGOS!$A$35:$A$42,0)),0))</f>
        <v>0</v>
      </c>
      <c r="T158" s="21">
        <f t="array" ref="T158">IF($J158="",0,IFERROR(INDEX(CATALOGOS!$B$47:$B$51,MATCH($J158,CATALOGOS!$A$47:$A$51,0)),0))</f>
        <v>0</v>
      </c>
      <c r="U158" s="21">
        <f t="array" ref="U158">IF($M158="",0,IFERROR(INDEX(CATALOGOS!$B$56:$B$62,MATCH($M158,CATALOGOS!$A$56:$A$62,0)),0))</f>
        <v>0</v>
      </c>
      <c r="V158" s="21" t="str">
        <f t="shared" si="2"/>
        <v/>
      </c>
      <c r="W158" s="21">
        <f t="array" ref="W158">IF($D158="",0,IFERROR(INDEX(CATALOGOS!$C$6:$C$14,MATCH($D158,CATALOGOS!$A$6:$A$14,0)),0))</f>
        <v>0</v>
      </c>
      <c r="X158" s="21">
        <f t="array" ref="X158">IF($D158="",0,IFERROR(INDEX(CATALOGOS!$D$6:$D$14,MATCH($D158,CATALOGOS!$A$6:$A$14,0)),0))</f>
        <v>0</v>
      </c>
      <c r="Y158" s="21">
        <f t="array" ref="Y158">IF($D158="",0,IFERROR(INDEX(CATALOGOS!$E$6:$E$14,MATCH($D158,CATALOGOS!$A$6:$A$14,0)),0))</f>
        <v>0</v>
      </c>
      <c r="Z158" s="26" t="str">
        <f t="shared" si="3"/>
        <v/>
      </c>
    </row>
    <row r="159" ht="15.0" customHeight="1">
      <c r="A159" s="18" t="str">
        <f t="shared" si="1"/>
        <v/>
      </c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21" t="str">
        <f t="array" ref="Q159">IF($D159="","",IFERROR(INDEX(CATALOGOS!$B$6:$B$14,MATCH($D159,CATALOGOS!$A$6:$A$14,0)),0))</f>
        <v/>
      </c>
      <c r="R159" s="21">
        <f t="array" ref="R159">IF($E159="",0,IFERROR(INDEX(CATALOGOS!$B$19:$B$30,MATCH($E159,CATALOGOS!$A$19:$A$30,0)),0))</f>
        <v>0</v>
      </c>
      <c r="S159" s="21">
        <f t="array" ref="S159">IF($K159="",0,IFERROR(INDEX(CATALOGOS!$B$35:$B$42,MATCH($K159,CATALOGOS!$A$35:$A$42,0)),0))</f>
        <v>0</v>
      </c>
      <c r="T159" s="21">
        <f t="array" ref="T159">IF($J159="",0,IFERROR(INDEX(CATALOGOS!$B$47:$B$51,MATCH($J159,CATALOGOS!$A$47:$A$51,0)),0))</f>
        <v>0</v>
      </c>
      <c r="U159" s="21">
        <f t="array" ref="U159">IF($M159="",0,IFERROR(INDEX(CATALOGOS!$B$56:$B$62,MATCH($M159,CATALOGOS!$A$56:$A$62,0)),0))</f>
        <v>0</v>
      </c>
      <c r="V159" s="21" t="str">
        <f t="shared" si="2"/>
        <v/>
      </c>
      <c r="W159" s="21">
        <f t="array" ref="W159">IF($D159="",0,IFERROR(INDEX(CATALOGOS!$C$6:$C$14,MATCH($D159,CATALOGOS!$A$6:$A$14,0)),0))</f>
        <v>0</v>
      </c>
      <c r="X159" s="21">
        <f t="array" ref="X159">IF($D159="",0,IFERROR(INDEX(CATALOGOS!$D$6:$D$14,MATCH($D159,CATALOGOS!$A$6:$A$14,0)),0))</f>
        <v>0</v>
      </c>
      <c r="Y159" s="21">
        <f t="array" ref="Y159">IF($D159="",0,IFERROR(INDEX(CATALOGOS!$E$6:$E$14,MATCH($D159,CATALOGOS!$A$6:$A$14,0)),0))</f>
        <v>0</v>
      </c>
      <c r="Z159" s="26" t="str">
        <f t="shared" si="3"/>
        <v/>
      </c>
    </row>
    <row r="160" ht="15.0" customHeight="1">
      <c r="A160" s="18" t="str">
        <f t="shared" si="1"/>
        <v/>
      </c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21" t="str">
        <f t="array" ref="Q160">IF($D160="","",IFERROR(INDEX(CATALOGOS!$B$6:$B$14,MATCH($D160,CATALOGOS!$A$6:$A$14,0)),0))</f>
        <v/>
      </c>
      <c r="R160" s="21">
        <f t="array" ref="R160">IF($E160="",0,IFERROR(INDEX(CATALOGOS!$B$19:$B$30,MATCH($E160,CATALOGOS!$A$19:$A$30,0)),0))</f>
        <v>0</v>
      </c>
      <c r="S160" s="21">
        <f t="array" ref="S160">IF($K160="",0,IFERROR(INDEX(CATALOGOS!$B$35:$B$42,MATCH($K160,CATALOGOS!$A$35:$A$42,0)),0))</f>
        <v>0</v>
      </c>
      <c r="T160" s="21">
        <f t="array" ref="T160">IF($J160="",0,IFERROR(INDEX(CATALOGOS!$B$47:$B$51,MATCH($J160,CATALOGOS!$A$47:$A$51,0)),0))</f>
        <v>0</v>
      </c>
      <c r="U160" s="21">
        <f t="array" ref="U160">IF($M160="",0,IFERROR(INDEX(CATALOGOS!$B$56:$B$62,MATCH($M160,CATALOGOS!$A$56:$A$62,0)),0))</f>
        <v>0</v>
      </c>
      <c r="V160" s="21" t="str">
        <f t="shared" si="2"/>
        <v/>
      </c>
      <c r="W160" s="21">
        <f t="array" ref="W160">IF($D160="",0,IFERROR(INDEX(CATALOGOS!$C$6:$C$14,MATCH($D160,CATALOGOS!$A$6:$A$14,0)),0))</f>
        <v>0</v>
      </c>
      <c r="X160" s="21">
        <f t="array" ref="X160">IF($D160="",0,IFERROR(INDEX(CATALOGOS!$D$6:$D$14,MATCH($D160,CATALOGOS!$A$6:$A$14,0)),0))</f>
        <v>0</v>
      </c>
      <c r="Y160" s="21">
        <f t="array" ref="Y160">IF($D160="",0,IFERROR(INDEX(CATALOGOS!$E$6:$E$14,MATCH($D160,CATALOGOS!$A$6:$A$14,0)),0))</f>
        <v>0</v>
      </c>
      <c r="Z160" s="26" t="str">
        <f t="shared" si="3"/>
        <v/>
      </c>
    </row>
    <row r="161" ht="15.0" customHeight="1">
      <c r="A161" s="18" t="str">
        <f t="shared" si="1"/>
        <v/>
      </c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21" t="str">
        <f t="array" ref="Q161">IF($D161="","",IFERROR(INDEX(CATALOGOS!$B$6:$B$14,MATCH($D161,CATALOGOS!$A$6:$A$14,0)),0))</f>
        <v/>
      </c>
      <c r="R161" s="21">
        <f t="array" ref="R161">IF($E161="",0,IFERROR(INDEX(CATALOGOS!$B$19:$B$30,MATCH($E161,CATALOGOS!$A$19:$A$30,0)),0))</f>
        <v>0</v>
      </c>
      <c r="S161" s="21">
        <f t="array" ref="S161">IF($K161="",0,IFERROR(INDEX(CATALOGOS!$B$35:$B$42,MATCH($K161,CATALOGOS!$A$35:$A$42,0)),0))</f>
        <v>0</v>
      </c>
      <c r="T161" s="21">
        <f t="array" ref="T161">IF($J161="",0,IFERROR(INDEX(CATALOGOS!$B$47:$B$51,MATCH($J161,CATALOGOS!$A$47:$A$51,0)),0))</f>
        <v>0</v>
      </c>
      <c r="U161" s="21">
        <f t="array" ref="U161">IF($M161="",0,IFERROR(INDEX(CATALOGOS!$B$56:$B$62,MATCH($M161,CATALOGOS!$A$56:$A$62,0)),0))</f>
        <v>0</v>
      </c>
      <c r="V161" s="21" t="str">
        <f t="shared" si="2"/>
        <v/>
      </c>
      <c r="W161" s="21">
        <f t="array" ref="W161">IF($D161="",0,IFERROR(INDEX(CATALOGOS!$C$6:$C$14,MATCH($D161,CATALOGOS!$A$6:$A$14,0)),0))</f>
        <v>0</v>
      </c>
      <c r="X161" s="21">
        <f t="array" ref="X161">IF($D161="",0,IFERROR(INDEX(CATALOGOS!$D$6:$D$14,MATCH($D161,CATALOGOS!$A$6:$A$14,0)),0))</f>
        <v>0</v>
      </c>
      <c r="Y161" s="21">
        <f t="array" ref="Y161">IF($D161="",0,IFERROR(INDEX(CATALOGOS!$E$6:$E$14,MATCH($D161,CATALOGOS!$A$6:$A$14,0)),0))</f>
        <v>0</v>
      </c>
      <c r="Z161" s="26" t="str">
        <f t="shared" si="3"/>
        <v/>
      </c>
    </row>
    <row r="162" ht="15.0" customHeight="1">
      <c r="A162" s="18" t="str">
        <f t="shared" si="1"/>
        <v/>
      </c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21" t="str">
        <f t="array" ref="Q162">IF($D162="","",IFERROR(INDEX(CATALOGOS!$B$6:$B$14,MATCH($D162,CATALOGOS!$A$6:$A$14,0)),0))</f>
        <v/>
      </c>
      <c r="R162" s="21">
        <f t="array" ref="R162">IF($E162="",0,IFERROR(INDEX(CATALOGOS!$B$19:$B$30,MATCH($E162,CATALOGOS!$A$19:$A$30,0)),0))</f>
        <v>0</v>
      </c>
      <c r="S162" s="21">
        <f t="array" ref="S162">IF($K162="",0,IFERROR(INDEX(CATALOGOS!$B$35:$B$42,MATCH($K162,CATALOGOS!$A$35:$A$42,0)),0))</f>
        <v>0</v>
      </c>
      <c r="T162" s="21">
        <f t="array" ref="T162">IF($J162="",0,IFERROR(INDEX(CATALOGOS!$B$47:$B$51,MATCH($J162,CATALOGOS!$A$47:$A$51,0)),0))</f>
        <v>0</v>
      </c>
      <c r="U162" s="21">
        <f t="array" ref="U162">IF($M162="",0,IFERROR(INDEX(CATALOGOS!$B$56:$B$62,MATCH($M162,CATALOGOS!$A$56:$A$62,0)),0))</f>
        <v>0</v>
      </c>
      <c r="V162" s="21" t="str">
        <f t="shared" si="2"/>
        <v/>
      </c>
      <c r="W162" s="21">
        <f t="array" ref="W162">IF($D162="",0,IFERROR(INDEX(CATALOGOS!$C$6:$C$14,MATCH($D162,CATALOGOS!$A$6:$A$14,0)),0))</f>
        <v>0</v>
      </c>
      <c r="X162" s="21">
        <f t="array" ref="X162">IF($D162="",0,IFERROR(INDEX(CATALOGOS!$D$6:$D$14,MATCH($D162,CATALOGOS!$A$6:$A$14,0)),0))</f>
        <v>0</v>
      </c>
      <c r="Y162" s="21">
        <f t="array" ref="Y162">IF($D162="",0,IFERROR(INDEX(CATALOGOS!$E$6:$E$14,MATCH($D162,CATALOGOS!$A$6:$A$14,0)),0))</f>
        <v>0</v>
      </c>
      <c r="Z162" s="26" t="str">
        <f t="shared" si="3"/>
        <v/>
      </c>
    </row>
    <row r="163" ht="15.0" customHeight="1">
      <c r="A163" s="18" t="str">
        <f t="shared" si="1"/>
        <v/>
      </c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21" t="str">
        <f t="array" ref="Q163">IF($D163="","",IFERROR(INDEX(CATALOGOS!$B$6:$B$14,MATCH($D163,CATALOGOS!$A$6:$A$14,0)),0))</f>
        <v/>
      </c>
      <c r="R163" s="21">
        <f t="array" ref="R163">IF($E163="",0,IFERROR(INDEX(CATALOGOS!$B$19:$B$30,MATCH($E163,CATALOGOS!$A$19:$A$30,0)),0))</f>
        <v>0</v>
      </c>
      <c r="S163" s="21">
        <f t="array" ref="S163">IF($K163="",0,IFERROR(INDEX(CATALOGOS!$B$35:$B$42,MATCH($K163,CATALOGOS!$A$35:$A$42,0)),0))</f>
        <v>0</v>
      </c>
      <c r="T163" s="21">
        <f t="array" ref="T163">IF($J163="",0,IFERROR(INDEX(CATALOGOS!$B$47:$B$51,MATCH($J163,CATALOGOS!$A$47:$A$51,0)),0))</f>
        <v>0</v>
      </c>
      <c r="U163" s="21">
        <f t="array" ref="U163">IF($M163="",0,IFERROR(INDEX(CATALOGOS!$B$56:$B$62,MATCH($M163,CATALOGOS!$A$56:$A$62,0)),0))</f>
        <v>0</v>
      </c>
      <c r="V163" s="21" t="str">
        <f t="shared" si="2"/>
        <v/>
      </c>
      <c r="W163" s="21">
        <f t="array" ref="W163">IF($D163="",0,IFERROR(INDEX(CATALOGOS!$C$6:$C$14,MATCH($D163,CATALOGOS!$A$6:$A$14,0)),0))</f>
        <v>0</v>
      </c>
      <c r="X163" s="21">
        <f t="array" ref="X163">IF($D163="",0,IFERROR(INDEX(CATALOGOS!$D$6:$D$14,MATCH($D163,CATALOGOS!$A$6:$A$14,0)),0))</f>
        <v>0</v>
      </c>
      <c r="Y163" s="21">
        <f t="array" ref="Y163">IF($D163="",0,IFERROR(INDEX(CATALOGOS!$E$6:$E$14,MATCH($D163,CATALOGOS!$A$6:$A$14,0)),0))</f>
        <v>0</v>
      </c>
      <c r="Z163" s="26" t="str">
        <f t="shared" si="3"/>
        <v/>
      </c>
    </row>
    <row r="164" ht="15.0" customHeight="1">
      <c r="A164" s="18" t="str">
        <f t="shared" si="1"/>
        <v/>
      </c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21" t="str">
        <f t="array" ref="Q164">IF($D164="","",IFERROR(INDEX(CATALOGOS!$B$6:$B$14,MATCH($D164,CATALOGOS!$A$6:$A$14,0)),0))</f>
        <v/>
      </c>
      <c r="R164" s="21">
        <f t="array" ref="R164">IF($E164="",0,IFERROR(INDEX(CATALOGOS!$B$19:$B$30,MATCH($E164,CATALOGOS!$A$19:$A$30,0)),0))</f>
        <v>0</v>
      </c>
      <c r="S164" s="21">
        <f t="array" ref="S164">IF($K164="",0,IFERROR(INDEX(CATALOGOS!$B$35:$B$42,MATCH($K164,CATALOGOS!$A$35:$A$42,0)),0))</f>
        <v>0</v>
      </c>
      <c r="T164" s="21">
        <f t="array" ref="T164">IF($J164="",0,IFERROR(INDEX(CATALOGOS!$B$47:$B$51,MATCH($J164,CATALOGOS!$A$47:$A$51,0)),0))</f>
        <v>0</v>
      </c>
      <c r="U164" s="21">
        <f t="array" ref="U164">IF($M164="",0,IFERROR(INDEX(CATALOGOS!$B$56:$B$62,MATCH($M164,CATALOGOS!$A$56:$A$62,0)),0))</f>
        <v>0</v>
      </c>
      <c r="V164" s="21" t="str">
        <f t="shared" si="2"/>
        <v/>
      </c>
      <c r="W164" s="21">
        <f t="array" ref="W164">IF($D164="",0,IFERROR(INDEX(CATALOGOS!$C$6:$C$14,MATCH($D164,CATALOGOS!$A$6:$A$14,0)),0))</f>
        <v>0</v>
      </c>
      <c r="X164" s="21">
        <f t="array" ref="X164">IF($D164="",0,IFERROR(INDEX(CATALOGOS!$D$6:$D$14,MATCH($D164,CATALOGOS!$A$6:$A$14,0)),0))</f>
        <v>0</v>
      </c>
      <c r="Y164" s="21">
        <f t="array" ref="Y164">IF($D164="",0,IFERROR(INDEX(CATALOGOS!$E$6:$E$14,MATCH($D164,CATALOGOS!$A$6:$A$14,0)),0))</f>
        <v>0</v>
      </c>
      <c r="Z164" s="26" t="str">
        <f t="shared" si="3"/>
        <v/>
      </c>
    </row>
    <row r="165" ht="15.0" customHeight="1">
      <c r="A165" s="18" t="str">
        <f t="shared" si="1"/>
        <v/>
      </c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21" t="str">
        <f t="array" ref="Q165">IF($D165="","",IFERROR(INDEX(CATALOGOS!$B$6:$B$14,MATCH($D165,CATALOGOS!$A$6:$A$14,0)),0))</f>
        <v/>
      </c>
      <c r="R165" s="21">
        <f t="array" ref="R165">IF($E165="",0,IFERROR(INDEX(CATALOGOS!$B$19:$B$30,MATCH($E165,CATALOGOS!$A$19:$A$30,0)),0))</f>
        <v>0</v>
      </c>
      <c r="S165" s="21">
        <f t="array" ref="S165">IF($K165="",0,IFERROR(INDEX(CATALOGOS!$B$35:$B$42,MATCH($K165,CATALOGOS!$A$35:$A$42,0)),0))</f>
        <v>0</v>
      </c>
      <c r="T165" s="21">
        <f t="array" ref="T165">IF($J165="",0,IFERROR(INDEX(CATALOGOS!$B$47:$B$51,MATCH($J165,CATALOGOS!$A$47:$A$51,0)),0))</f>
        <v>0</v>
      </c>
      <c r="U165" s="21">
        <f t="array" ref="U165">IF($M165="",0,IFERROR(INDEX(CATALOGOS!$B$56:$B$62,MATCH($M165,CATALOGOS!$A$56:$A$62,0)),0))</f>
        <v>0</v>
      </c>
      <c r="V165" s="21" t="str">
        <f t="shared" si="2"/>
        <v/>
      </c>
      <c r="W165" s="21">
        <f t="array" ref="W165">IF($D165="",0,IFERROR(INDEX(CATALOGOS!$C$6:$C$14,MATCH($D165,CATALOGOS!$A$6:$A$14,0)),0))</f>
        <v>0</v>
      </c>
      <c r="X165" s="21">
        <f t="array" ref="X165">IF($D165="",0,IFERROR(INDEX(CATALOGOS!$D$6:$D$14,MATCH($D165,CATALOGOS!$A$6:$A$14,0)),0))</f>
        <v>0</v>
      </c>
      <c r="Y165" s="21">
        <f t="array" ref="Y165">IF($D165="",0,IFERROR(INDEX(CATALOGOS!$E$6:$E$14,MATCH($D165,CATALOGOS!$A$6:$A$14,0)),0))</f>
        <v>0</v>
      </c>
      <c r="Z165" s="26" t="str">
        <f t="shared" si="3"/>
        <v/>
      </c>
    </row>
    <row r="166" ht="15.0" customHeight="1">
      <c r="A166" s="18" t="str">
        <f t="shared" si="1"/>
        <v/>
      </c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21" t="str">
        <f t="array" ref="Q166">IF($D166="","",IFERROR(INDEX(CATALOGOS!$B$6:$B$14,MATCH($D166,CATALOGOS!$A$6:$A$14,0)),0))</f>
        <v/>
      </c>
      <c r="R166" s="21">
        <f t="array" ref="R166">IF($E166="",0,IFERROR(INDEX(CATALOGOS!$B$19:$B$30,MATCH($E166,CATALOGOS!$A$19:$A$30,0)),0))</f>
        <v>0</v>
      </c>
      <c r="S166" s="21">
        <f t="array" ref="S166">IF($K166="",0,IFERROR(INDEX(CATALOGOS!$B$35:$B$42,MATCH($K166,CATALOGOS!$A$35:$A$42,0)),0))</f>
        <v>0</v>
      </c>
      <c r="T166" s="21">
        <f t="array" ref="T166">IF($J166="",0,IFERROR(INDEX(CATALOGOS!$B$47:$B$51,MATCH($J166,CATALOGOS!$A$47:$A$51,0)),0))</f>
        <v>0</v>
      </c>
      <c r="U166" s="21">
        <f t="array" ref="U166">IF($M166="",0,IFERROR(INDEX(CATALOGOS!$B$56:$B$62,MATCH($M166,CATALOGOS!$A$56:$A$62,0)),0))</f>
        <v>0</v>
      </c>
      <c r="V166" s="21" t="str">
        <f t="shared" si="2"/>
        <v/>
      </c>
      <c r="W166" s="21">
        <f t="array" ref="W166">IF($D166="",0,IFERROR(INDEX(CATALOGOS!$C$6:$C$14,MATCH($D166,CATALOGOS!$A$6:$A$14,0)),0))</f>
        <v>0</v>
      </c>
      <c r="X166" s="21">
        <f t="array" ref="X166">IF($D166="",0,IFERROR(INDEX(CATALOGOS!$D$6:$D$14,MATCH($D166,CATALOGOS!$A$6:$A$14,0)),0))</f>
        <v>0</v>
      </c>
      <c r="Y166" s="21">
        <f t="array" ref="Y166">IF($D166="",0,IFERROR(INDEX(CATALOGOS!$E$6:$E$14,MATCH($D166,CATALOGOS!$A$6:$A$14,0)),0))</f>
        <v>0</v>
      </c>
      <c r="Z166" s="26" t="str">
        <f t="shared" si="3"/>
        <v/>
      </c>
    </row>
    <row r="167" ht="15.0" customHeight="1">
      <c r="A167" s="18" t="str">
        <f t="shared" si="1"/>
        <v/>
      </c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21" t="str">
        <f t="array" ref="Q167">IF($D167="","",IFERROR(INDEX(CATALOGOS!$B$6:$B$14,MATCH($D167,CATALOGOS!$A$6:$A$14,0)),0))</f>
        <v/>
      </c>
      <c r="R167" s="21">
        <f t="array" ref="R167">IF($E167="",0,IFERROR(INDEX(CATALOGOS!$B$19:$B$30,MATCH($E167,CATALOGOS!$A$19:$A$30,0)),0))</f>
        <v>0</v>
      </c>
      <c r="S167" s="21">
        <f t="array" ref="S167">IF($K167="",0,IFERROR(INDEX(CATALOGOS!$B$35:$B$42,MATCH($K167,CATALOGOS!$A$35:$A$42,0)),0))</f>
        <v>0</v>
      </c>
      <c r="T167" s="21">
        <f t="array" ref="T167">IF($J167="",0,IFERROR(INDEX(CATALOGOS!$B$47:$B$51,MATCH($J167,CATALOGOS!$A$47:$A$51,0)),0))</f>
        <v>0</v>
      </c>
      <c r="U167" s="21">
        <f t="array" ref="U167">IF($M167="",0,IFERROR(INDEX(CATALOGOS!$B$56:$B$62,MATCH($M167,CATALOGOS!$A$56:$A$62,0)),0))</f>
        <v>0</v>
      </c>
      <c r="V167" s="21" t="str">
        <f t="shared" si="2"/>
        <v/>
      </c>
      <c r="W167" s="21">
        <f t="array" ref="W167">IF($D167="",0,IFERROR(INDEX(CATALOGOS!$C$6:$C$14,MATCH($D167,CATALOGOS!$A$6:$A$14,0)),0))</f>
        <v>0</v>
      </c>
      <c r="X167" s="21">
        <f t="array" ref="X167">IF($D167="",0,IFERROR(INDEX(CATALOGOS!$D$6:$D$14,MATCH($D167,CATALOGOS!$A$6:$A$14,0)),0))</f>
        <v>0</v>
      </c>
      <c r="Y167" s="21">
        <f t="array" ref="Y167">IF($D167="",0,IFERROR(INDEX(CATALOGOS!$E$6:$E$14,MATCH($D167,CATALOGOS!$A$6:$A$14,0)),0))</f>
        <v>0</v>
      </c>
      <c r="Z167" s="26" t="str">
        <f t="shared" si="3"/>
        <v/>
      </c>
    </row>
    <row r="168" ht="15.0" customHeight="1">
      <c r="A168" s="18" t="str">
        <f t="shared" si="1"/>
        <v/>
      </c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21" t="str">
        <f t="array" ref="Q168">IF($D168="","",IFERROR(INDEX(CATALOGOS!$B$6:$B$14,MATCH($D168,CATALOGOS!$A$6:$A$14,0)),0))</f>
        <v/>
      </c>
      <c r="R168" s="21">
        <f t="array" ref="R168">IF($E168="",0,IFERROR(INDEX(CATALOGOS!$B$19:$B$30,MATCH($E168,CATALOGOS!$A$19:$A$30,0)),0))</f>
        <v>0</v>
      </c>
      <c r="S168" s="21">
        <f t="array" ref="S168">IF($K168="",0,IFERROR(INDEX(CATALOGOS!$B$35:$B$42,MATCH($K168,CATALOGOS!$A$35:$A$42,0)),0))</f>
        <v>0</v>
      </c>
      <c r="T168" s="21">
        <f t="array" ref="T168">IF($J168="",0,IFERROR(INDEX(CATALOGOS!$B$47:$B$51,MATCH($J168,CATALOGOS!$A$47:$A$51,0)),0))</f>
        <v>0</v>
      </c>
      <c r="U168" s="21">
        <f t="array" ref="U168">IF($M168="",0,IFERROR(INDEX(CATALOGOS!$B$56:$B$62,MATCH($M168,CATALOGOS!$A$56:$A$62,0)),0))</f>
        <v>0</v>
      </c>
      <c r="V168" s="21" t="str">
        <f t="shared" si="2"/>
        <v/>
      </c>
      <c r="W168" s="21">
        <f t="array" ref="W168">IF($D168="",0,IFERROR(INDEX(CATALOGOS!$C$6:$C$14,MATCH($D168,CATALOGOS!$A$6:$A$14,0)),0))</f>
        <v>0</v>
      </c>
      <c r="X168" s="21">
        <f t="array" ref="X168">IF($D168="",0,IFERROR(INDEX(CATALOGOS!$D$6:$D$14,MATCH($D168,CATALOGOS!$A$6:$A$14,0)),0))</f>
        <v>0</v>
      </c>
      <c r="Y168" s="21">
        <f t="array" ref="Y168">IF($D168="",0,IFERROR(INDEX(CATALOGOS!$E$6:$E$14,MATCH($D168,CATALOGOS!$A$6:$A$14,0)),0))</f>
        <v>0</v>
      </c>
      <c r="Z168" s="26" t="str">
        <f t="shared" si="3"/>
        <v/>
      </c>
    </row>
    <row r="169" ht="15.0" customHeight="1">
      <c r="A169" s="18" t="str">
        <f t="shared" si="1"/>
        <v/>
      </c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21" t="str">
        <f t="array" ref="Q169">IF($D169="","",IFERROR(INDEX(CATALOGOS!$B$6:$B$14,MATCH($D169,CATALOGOS!$A$6:$A$14,0)),0))</f>
        <v/>
      </c>
      <c r="R169" s="21">
        <f t="array" ref="R169">IF($E169="",0,IFERROR(INDEX(CATALOGOS!$B$19:$B$30,MATCH($E169,CATALOGOS!$A$19:$A$30,0)),0))</f>
        <v>0</v>
      </c>
      <c r="S169" s="21">
        <f t="array" ref="S169">IF($K169="",0,IFERROR(INDEX(CATALOGOS!$B$35:$B$42,MATCH($K169,CATALOGOS!$A$35:$A$42,0)),0))</f>
        <v>0</v>
      </c>
      <c r="T169" s="21">
        <f t="array" ref="T169">IF($J169="",0,IFERROR(INDEX(CATALOGOS!$B$47:$B$51,MATCH($J169,CATALOGOS!$A$47:$A$51,0)),0))</f>
        <v>0</v>
      </c>
      <c r="U169" s="21">
        <f t="array" ref="U169">IF($M169="",0,IFERROR(INDEX(CATALOGOS!$B$56:$B$62,MATCH($M169,CATALOGOS!$A$56:$A$62,0)),0))</f>
        <v>0</v>
      </c>
      <c r="V169" s="21" t="str">
        <f t="shared" si="2"/>
        <v/>
      </c>
      <c r="W169" s="21">
        <f t="array" ref="W169">IF($D169="",0,IFERROR(INDEX(CATALOGOS!$C$6:$C$14,MATCH($D169,CATALOGOS!$A$6:$A$14,0)),0))</f>
        <v>0</v>
      </c>
      <c r="X169" s="21">
        <f t="array" ref="X169">IF($D169="",0,IFERROR(INDEX(CATALOGOS!$D$6:$D$14,MATCH($D169,CATALOGOS!$A$6:$A$14,0)),0))</f>
        <v>0</v>
      </c>
      <c r="Y169" s="21">
        <f t="array" ref="Y169">IF($D169="",0,IFERROR(INDEX(CATALOGOS!$E$6:$E$14,MATCH($D169,CATALOGOS!$A$6:$A$14,0)),0))</f>
        <v>0</v>
      </c>
      <c r="Z169" s="26" t="str">
        <f t="shared" si="3"/>
        <v/>
      </c>
    </row>
    <row r="170" ht="15.0" customHeight="1">
      <c r="A170" s="18" t="str">
        <f t="shared" si="1"/>
        <v/>
      </c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21" t="str">
        <f t="array" ref="Q170">IF($D170="","",IFERROR(INDEX(CATALOGOS!$B$6:$B$14,MATCH($D170,CATALOGOS!$A$6:$A$14,0)),0))</f>
        <v/>
      </c>
      <c r="R170" s="21">
        <f t="array" ref="R170">IF($E170="",0,IFERROR(INDEX(CATALOGOS!$B$19:$B$30,MATCH($E170,CATALOGOS!$A$19:$A$30,0)),0))</f>
        <v>0</v>
      </c>
      <c r="S170" s="21">
        <f t="array" ref="S170">IF($K170="",0,IFERROR(INDEX(CATALOGOS!$B$35:$B$42,MATCH($K170,CATALOGOS!$A$35:$A$42,0)),0))</f>
        <v>0</v>
      </c>
      <c r="T170" s="21">
        <f t="array" ref="T170">IF($J170="",0,IFERROR(INDEX(CATALOGOS!$B$47:$B$51,MATCH($J170,CATALOGOS!$A$47:$A$51,0)),0))</f>
        <v>0</v>
      </c>
      <c r="U170" s="21">
        <f t="array" ref="U170">IF($M170="",0,IFERROR(INDEX(CATALOGOS!$B$56:$B$62,MATCH($M170,CATALOGOS!$A$56:$A$62,0)),0))</f>
        <v>0</v>
      </c>
      <c r="V170" s="21" t="str">
        <f t="shared" si="2"/>
        <v/>
      </c>
      <c r="W170" s="21">
        <f t="array" ref="W170">IF($D170="",0,IFERROR(INDEX(CATALOGOS!$C$6:$C$14,MATCH($D170,CATALOGOS!$A$6:$A$14,0)),0))</f>
        <v>0</v>
      </c>
      <c r="X170" s="21">
        <f t="array" ref="X170">IF($D170="",0,IFERROR(INDEX(CATALOGOS!$D$6:$D$14,MATCH($D170,CATALOGOS!$A$6:$A$14,0)),0))</f>
        <v>0</v>
      </c>
      <c r="Y170" s="21">
        <f t="array" ref="Y170">IF($D170="",0,IFERROR(INDEX(CATALOGOS!$E$6:$E$14,MATCH($D170,CATALOGOS!$A$6:$A$14,0)),0))</f>
        <v>0</v>
      </c>
      <c r="Z170" s="26" t="str">
        <f t="shared" si="3"/>
        <v/>
      </c>
    </row>
    <row r="171" ht="15.0" customHeight="1">
      <c r="A171" s="18" t="str">
        <f t="shared" si="1"/>
        <v/>
      </c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21" t="str">
        <f t="array" ref="Q171">IF($D171="","",IFERROR(INDEX(CATALOGOS!$B$6:$B$14,MATCH($D171,CATALOGOS!$A$6:$A$14,0)),0))</f>
        <v/>
      </c>
      <c r="R171" s="21">
        <f t="array" ref="R171">IF($E171="",0,IFERROR(INDEX(CATALOGOS!$B$19:$B$30,MATCH($E171,CATALOGOS!$A$19:$A$30,0)),0))</f>
        <v>0</v>
      </c>
      <c r="S171" s="21">
        <f t="array" ref="S171">IF($K171="",0,IFERROR(INDEX(CATALOGOS!$B$35:$B$42,MATCH($K171,CATALOGOS!$A$35:$A$42,0)),0))</f>
        <v>0</v>
      </c>
      <c r="T171" s="21">
        <f t="array" ref="T171">IF($J171="",0,IFERROR(INDEX(CATALOGOS!$B$47:$B$51,MATCH($J171,CATALOGOS!$A$47:$A$51,0)),0))</f>
        <v>0</v>
      </c>
      <c r="U171" s="21">
        <f t="array" ref="U171">IF($M171="",0,IFERROR(INDEX(CATALOGOS!$B$56:$B$62,MATCH($M171,CATALOGOS!$A$56:$A$62,0)),0))</f>
        <v>0</v>
      </c>
      <c r="V171" s="21" t="str">
        <f t="shared" si="2"/>
        <v/>
      </c>
      <c r="W171" s="21">
        <f t="array" ref="W171">IF($D171="",0,IFERROR(INDEX(CATALOGOS!$C$6:$C$14,MATCH($D171,CATALOGOS!$A$6:$A$14,0)),0))</f>
        <v>0</v>
      </c>
      <c r="X171" s="21">
        <f t="array" ref="X171">IF($D171="",0,IFERROR(INDEX(CATALOGOS!$D$6:$D$14,MATCH($D171,CATALOGOS!$A$6:$A$14,0)),0))</f>
        <v>0</v>
      </c>
      <c r="Y171" s="21">
        <f t="array" ref="Y171">IF($D171="",0,IFERROR(INDEX(CATALOGOS!$E$6:$E$14,MATCH($D171,CATALOGOS!$A$6:$A$14,0)),0))</f>
        <v>0</v>
      </c>
      <c r="Z171" s="26" t="str">
        <f t="shared" si="3"/>
        <v/>
      </c>
    </row>
    <row r="172" ht="15.0" customHeight="1">
      <c r="A172" s="18" t="str">
        <f t="shared" si="1"/>
        <v/>
      </c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21" t="str">
        <f t="array" ref="Q172">IF($D172="","",IFERROR(INDEX(CATALOGOS!$B$6:$B$14,MATCH($D172,CATALOGOS!$A$6:$A$14,0)),0))</f>
        <v/>
      </c>
      <c r="R172" s="21">
        <f t="array" ref="R172">IF($E172="",0,IFERROR(INDEX(CATALOGOS!$B$19:$B$30,MATCH($E172,CATALOGOS!$A$19:$A$30,0)),0))</f>
        <v>0</v>
      </c>
      <c r="S172" s="21">
        <f t="array" ref="S172">IF($K172="",0,IFERROR(INDEX(CATALOGOS!$B$35:$B$42,MATCH($K172,CATALOGOS!$A$35:$A$42,0)),0))</f>
        <v>0</v>
      </c>
      <c r="T172" s="21">
        <f t="array" ref="T172">IF($J172="",0,IFERROR(INDEX(CATALOGOS!$B$47:$B$51,MATCH($J172,CATALOGOS!$A$47:$A$51,0)),0))</f>
        <v>0</v>
      </c>
      <c r="U172" s="21">
        <f t="array" ref="U172">IF($M172="",0,IFERROR(INDEX(CATALOGOS!$B$56:$B$62,MATCH($M172,CATALOGOS!$A$56:$A$62,0)),0))</f>
        <v>0</v>
      </c>
      <c r="V172" s="21" t="str">
        <f t="shared" si="2"/>
        <v/>
      </c>
      <c r="W172" s="21">
        <f t="array" ref="W172">IF($D172="",0,IFERROR(INDEX(CATALOGOS!$C$6:$C$14,MATCH($D172,CATALOGOS!$A$6:$A$14,0)),0))</f>
        <v>0</v>
      </c>
      <c r="X172" s="21">
        <f t="array" ref="X172">IF($D172="",0,IFERROR(INDEX(CATALOGOS!$D$6:$D$14,MATCH($D172,CATALOGOS!$A$6:$A$14,0)),0))</f>
        <v>0</v>
      </c>
      <c r="Y172" s="21">
        <f t="array" ref="Y172">IF($D172="",0,IFERROR(INDEX(CATALOGOS!$E$6:$E$14,MATCH($D172,CATALOGOS!$A$6:$A$14,0)),0))</f>
        <v>0</v>
      </c>
      <c r="Z172" s="26" t="str">
        <f t="shared" si="3"/>
        <v/>
      </c>
    </row>
    <row r="173" ht="15.0" customHeight="1">
      <c r="A173" s="18" t="str">
        <f t="shared" si="1"/>
        <v/>
      </c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21" t="str">
        <f t="array" ref="Q173">IF($D173="","",IFERROR(INDEX(CATALOGOS!$B$6:$B$14,MATCH($D173,CATALOGOS!$A$6:$A$14,0)),0))</f>
        <v/>
      </c>
      <c r="R173" s="21">
        <f t="array" ref="R173">IF($E173="",0,IFERROR(INDEX(CATALOGOS!$B$19:$B$30,MATCH($E173,CATALOGOS!$A$19:$A$30,0)),0))</f>
        <v>0</v>
      </c>
      <c r="S173" s="21">
        <f t="array" ref="S173">IF($K173="",0,IFERROR(INDEX(CATALOGOS!$B$35:$B$42,MATCH($K173,CATALOGOS!$A$35:$A$42,0)),0))</f>
        <v>0</v>
      </c>
      <c r="T173" s="21">
        <f t="array" ref="T173">IF($J173="",0,IFERROR(INDEX(CATALOGOS!$B$47:$B$51,MATCH($J173,CATALOGOS!$A$47:$A$51,0)),0))</f>
        <v>0</v>
      </c>
      <c r="U173" s="21">
        <f t="array" ref="U173">IF($M173="",0,IFERROR(INDEX(CATALOGOS!$B$56:$B$62,MATCH($M173,CATALOGOS!$A$56:$A$62,0)),0))</f>
        <v>0</v>
      </c>
      <c r="V173" s="21" t="str">
        <f t="shared" si="2"/>
        <v/>
      </c>
      <c r="W173" s="21">
        <f t="array" ref="W173">IF($D173="",0,IFERROR(INDEX(CATALOGOS!$C$6:$C$14,MATCH($D173,CATALOGOS!$A$6:$A$14,0)),0))</f>
        <v>0</v>
      </c>
      <c r="X173" s="21">
        <f t="array" ref="X173">IF($D173="",0,IFERROR(INDEX(CATALOGOS!$D$6:$D$14,MATCH($D173,CATALOGOS!$A$6:$A$14,0)),0))</f>
        <v>0</v>
      </c>
      <c r="Y173" s="21">
        <f t="array" ref="Y173">IF($D173="",0,IFERROR(INDEX(CATALOGOS!$E$6:$E$14,MATCH($D173,CATALOGOS!$A$6:$A$14,0)),0))</f>
        <v>0</v>
      </c>
      <c r="Z173" s="26" t="str">
        <f t="shared" si="3"/>
        <v/>
      </c>
    </row>
    <row r="174" ht="15.0" customHeight="1">
      <c r="A174" s="18" t="str">
        <f t="shared" si="1"/>
        <v/>
      </c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21" t="str">
        <f t="array" ref="Q174">IF($D174="","",IFERROR(INDEX(CATALOGOS!$B$6:$B$14,MATCH($D174,CATALOGOS!$A$6:$A$14,0)),0))</f>
        <v/>
      </c>
      <c r="R174" s="21">
        <f t="array" ref="R174">IF($E174="",0,IFERROR(INDEX(CATALOGOS!$B$19:$B$30,MATCH($E174,CATALOGOS!$A$19:$A$30,0)),0))</f>
        <v>0</v>
      </c>
      <c r="S174" s="21">
        <f t="array" ref="S174">IF($K174="",0,IFERROR(INDEX(CATALOGOS!$B$35:$B$42,MATCH($K174,CATALOGOS!$A$35:$A$42,0)),0))</f>
        <v>0</v>
      </c>
      <c r="T174" s="21">
        <f t="array" ref="T174">IF($J174="",0,IFERROR(INDEX(CATALOGOS!$B$47:$B$51,MATCH($J174,CATALOGOS!$A$47:$A$51,0)),0))</f>
        <v>0</v>
      </c>
      <c r="U174" s="21">
        <f t="array" ref="U174">IF($M174="",0,IFERROR(INDEX(CATALOGOS!$B$56:$B$62,MATCH($M174,CATALOGOS!$A$56:$A$62,0)),0))</f>
        <v>0</v>
      </c>
      <c r="V174" s="21" t="str">
        <f t="shared" si="2"/>
        <v/>
      </c>
      <c r="W174" s="21">
        <f t="array" ref="W174">IF($D174="",0,IFERROR(INDEX(CATALOGOS!$C$6:$C$14,MATCH($D174,CATALOGOS!$A$6:$A$14,0)),0))</f>
        <v>0</v>
      </c>
      <c r="X174" s="21">
        <f t="array" ref="X174">IF($D174="",0,IFERROR(INDEX(CATALOGOS!$D$6:$D$14,MATCH($D174,CATALOGOS!$A$6:$A$14,0)),0))</f>
        <v>0</v>
      </c>
      <c r="Y174" s="21">
        <f t="array" ref="Y174">IF($D174="",0,IFERROR(INDEX(CATALOGOS!$E$6:$E$14,MATCH($D174,CATALOGOS!$A$6:$A$14,0)),0))</f>
        <v>0</v>
      </c>
      <c r="Z174" s="26" t="str">
        <f t="shared" si="3"/>
        <v/>
      </c>
    </row>
    <row r="175" ht="15.0" customHeight="1">
      <c r="A175" s="18" t="str">
        <f t="shared" si="1"/>
        <v/>
      </c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21" t="str">
        <f t="array" ref="Q175">IF($D175="","",IFERROR(INDEX(CATALOGOS!$B$6:$B$14,MATCH($D175,CATALOGOS!$A$6:$A$14,0)),0))</f>
        <v/>
      </c>
      <c r="R175" s="21">
        <f t="array" ref="R175">IF($E175="",0,IFERROR(INDEX(CATALOGOS!$B$19:$B$30,MATCH($E175,CATALOGOS!$A$19:$A$30,0)),0))</f>
        <v>0</v>
      </c>
      <c r="S175" s="21">
        <f t="array" ref="S175">IF($K175="",0,IFERROR(INDEX(CATALOGOS!$B$35:$B$42,MATCH($K175,CATALOGOS!$A$35:$A$42,0)),0))</f>
        <v>0</v>
      </c>
      <c r="T175" s="21">
        <f t="array" ref="T175">IF($J175="",0,IFERROR(INDEX(CATALOGOS!$B$47:$B$51,MATCH($J175,CATALOGOS!$A$47:$A$51,0)),0))</f>
        <v>0</v>
      </c>
      <c r="U175" s="21">
        <f t="array" ref="U175">IF($M175="",0,IFERROR(INDEX(CATALOGOS!$B$56:$B$62,MATCH($M175,CATALOGOS!$A$56:$A$62,0)),0))</f>
        <v>0</v>
      </c>
      <c r="V175" s="21" t="str">
        <f t="shared" si="2"/>
        <v/>
      </c>
      <c r="W175" s="21">
        <f t="array" ref="W175">IF($D175="",0,IFERROR(INDEX(CATALOGOS!$C$6:$C$14,MATCH($D175,CATALOGOS!$A$6:$A$14,0)),0))</f>
        <v>0</v>
      </c>
      <c r="X175" s="21">
        <f t="array" ref="X175">IF($D175="",0,IFERROR(INDEX(CATALOGOS!$D$6:$D$14,MATCH($D175,CATALOGOS!$A$6:$A$14,0)),0))</f>
        <v>0</v>
      </c>
      <c r="Y175" s="21">
        <f t="array" ref="Y175">IF($D175="",0,IFERROR(INDEX(CATALOGOS!$E$6:$E$14,MATCH($D175,CATALOGOS!$A$6:$A$14,0)),0))</f>
        <v>0</v>
      </c>
      <c r="Z175" s="26" t="str">
        <f t="shared" si="3"/>
        <v/>
      </c>
    </row>
    <row r="176" ht="15.0" customHeight="1">
      <c r="A176" s="18" t="str">
        <f t="shared" si="1"/>
        <v/>
      </c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21" t="str">
        <f t="array" ref="Q176">IF($D176="","",IFERROR(INDEX(CATALOGOS!$B$6:$B$14,MATCH($D176,CATALOGOS!$A$6:$A$14,0)),0))</f>
        <v/>
      </c>
      <c r="R176" s="21">
        <f t="array" ref="R176">IF($E176="",0,IFERROR(INDEX(CATALOGOS!$B$19:$B$30,MATCH($E176,CATALOGOS!$A$19:$A$30,0)),0))</f>
        <v>0</v>
      </c>
      <c r="S176" s="21">
        <f t="array" ref="S176">IF($K176="",0,IFERROR(INDEX(CATALOGOS!$B$35:$B$42,MATCH($K176,CATALOGOS!$A$35:$A$42,0)),0))</f>
        <v>0</v>
      </c>
      <c r="T176" s="21">
        <f t="array" ref="T176">IF($J176="",0,IFERROR(INDEX(CATALOGOS!$B$47:$B$51,MATCH($J176,CATALOGOS!$A$47:$A$51,0)),0))</f>
        <v>0</v>
      </c>
      <c r="U176" s="21">
        <f t="array" ref="U176">IF($M176="",0,IFERROR(INDEX(CATALOGOS!$B$56:$B$62,MATCH($M176,CATALOGOS!$A$56:$A$62,0)),0))</f>
        <v>0</v>
      </c>
      <c r="V176" s="21" t="str">
        <f t="shared" si="2"/>
        <v/>
      </c>
      <c r="W176" s="21">
        <f t="array" ref="W176">IF($D176="",0,IFERROR(INDEX(CATALOGOS!$C$6:$C$14,MATCH($D176,CATALOGOS!$A$6:$A$14,0)),0))</f>
        <v>0</v>
      </c>
      <c r="X176" s="21">
        <f t="array" ref="X176">IF($D176="",0,IFERROR(INDEX(CATALOGOS!$D$6:$D$14,MATCH($D176,CATALOGOS!$A$6:$A$14,0)),0))</f>
        <v>0</v>
      </c>
      <c r="Y176" s="21">
        <f t="array" ref="Y176">IF($D176="",0,IFERROR(INDEX(CATALOGOS!$E$6:$E$14,MATCH($D176,CATALOGOS!$A$6:$A$14,0)),0))</f>
        <v>0</v>
      </c>
      <c r="Z176" s="26" t="str">
        <f t="shared" si="3"/>
        <v/>
      </c>
    </row>
    <row r="177" ht="15.0" customHeight="1">
      <c r="A177" s="18" t="str">
        <f t="shared" si="1"/>
        <v/>
      </c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21" t="str">
        <f t="array" ref="Q177">IF($D177="","",IFERROR(INDEX(CATALOGOS!$B$6:$B$14,MATCH($D177,CATALOGOS!$A$6:$A$14,0)),0))</f>
        <v/>
      </c>
      <c r="R177" s="21">
        <f t="array" ref="R177">IF($E177="",0,IFERROR(INDEX(CATALOGOS!$B$19:$B$30,MATCH($E177,CATALOGOS!$A$19:$A$30,0)),0))</f>
        <v>0</v>
      </c>
      <c r="S177" s="21">
        <f t="array" ref="S177">IF($K177="",0,IFERROR(INDEX(CATALOGOS!$B$35:$B$42,MATCH($K177,CATALOGOS!$A$35:$A$42,0)),0))</f>
        <v>0</v>
      </c>
      <c r="T177" s="21">
        <f t="array" ref="T177">IF($J177="",0,IFERROR(INDEX(CATALOGOS!$B$47:$B$51,MATCH($J177,CATALOGOS!$A$47:$A$51,0)),0))</f>
        <v>0</v>
      </c>
      <c r="U177" s="21">
        <f t="array" ref="U177">IF($M177="",0,IFERROR(INDEX(CATALOGOS!$B$56:$B$62,MATCH($M177,CATALOGOS!$A$56:$A$62,0)),0))</f>
        <v>0</v>
      </c>
      <c r="V177" s="21" t="str">
        <f t="shared" si="2"/>
        <v/>
      </c>
      <c r="W177" s="21">
        <f t="array" ref="W177">IF($D177="",0,IFERROR(INDEX(CATALOGOS!$C$6:$C$14,MATCH($D177,CATALOGOS!$A$6:$A$14,0)),0))</f>
        <v>0</v>
      </c>
      <c r="X177" s="21">
        <f t="array" ref="X177">IF($D177="",0,IFERROR(INDEX(CATALOGOS!$D$6:$D$14,MATCH($D177,CATALOGOS!$A$6:$A$14,0)),0))</f>
        <v>0</v>
      </c>
      <c r="Y177" s="21">
        <f t="array" ref="Y177">IF($D177="",0,IFERROR(INDEX(CATALOGOS!$E$6:$E$14,MATCH($D177,CATALOGOS!$A$6:$A$14,0)),0))</f>
        <v>0</v>
      </c>
      <c r="Z177" s="26" t="str">
        <f t="shared" si="3"/>
        <v/>
      </c>
    </row>
    <row r="178" ht="15.0" customHeight="1">
      <c r="A178" s="18" t="str">
        <f t="shared" si="1"/>
        <v/>
      </c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21" t="str">
        <f t="array" ref="Q178">IF($D178="","",IFERROR(INDEX(CATALOGOS!$B$6:$B$14,MATCH($D178,CATALOGOS!$A$6:$A$14,0)),0))</f>
        <v/>
      </c>
      <c r="R178" s="21">
        <f t="array" ref="R178">IF($E178="",0,IFERROR(INDEX(CATALOGOS!$B$19:$B$30,MATCH($E178,CATALOGOS!$A$19:$A$30,0)),0))</f>
        <v>0</v>
      </c>
      <c r="S178" s="21">
        <f t="array" ref="S178">IF($K178="",0,IFERROR(INDEX(CATALOGOS!$B$35:$B$42,MATCH($K178,CATALOGOS!$A$35:$A$42,0)),0))</f>
        <v>0</v>
      </c>
      <c r="T178" s="21">
        <f t="array" ref="T178">IF($J178="",0,IFERROR(INDEX(CATALOGOS!$B$47:$B$51,MATCH($J178,CATALOGOS!$A$47:$A$51,0)),0))</f>
        <v>0</v>
      </c>
      <c r="U178" s="21">
        <f t="array" ref="U178">IF($M178="",0,IFERROR(INDEX(CATALOGOS!$B$56:$B$62,MATCH($M178,CATALOGOS!$A$56:$A$62,0)),0))</f>
        <v>0</v>
      </c>
      <c r="V178" s="21" t="str">
        <f t="shared" si="2"/>
        <v/>
      </c>
      <c r="W178" s="21">
        <f t="array" ref="W178">IF($D178="",0,IFERROR(INDEX(CATALOGOS!$C$6:$C$14,MATCH($D178,CATALOGOS!$A$6:$A$14,0)),0))</f>
        <v>0</v>
      </c>
      <c r="X178" s="21">
        <f t="array" ref="X178">IF($D178="",0,IFERROR(INDEX(CATALOGOS!$D$6:$D$14,MATCH($D178,CATALOGOS!$A$6:$A$14,0)),0))</f>
        <v>0</v>
      </c>
      <c r="Y178" s="21">
        <f t="array" ref="Y178">IF($D178="",0,IFERROR(INDEX(CATALOGOS!$E$6:$E$14,MATCH($D178,CATALOGOS!$A$6:$A$14,0)),0))</f>
        <v>0</v>
      </c>
      <c r="Z178" s="26" t="str">
        <f t="shared" si="3"/>
        <v/>
      </c>
    </row>
    <row r="179" ht="15.0" customHeight="1">
      <c r="A179" s="18" t="str">
        <f t="shared" si="1"/>
        <v/>
      </c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21" t="str">
        <f t="array" ref="Q179">IF($D179="","",IFERROR(INDEX(CATALOGOS!$B$6:$B$14,MATCH($D179,CATALOGOS!$A$6:$A$14,0)),0))</f>
        <v/>
      </c>
      <c r="R179" s="21">
        <f t="array" ref="R179">IF($E179="",0,IFERROR(INDEX(CATALOGOS!$B$19:$B$30,MATCH($E179,CATALOGOS!$A$19:$A$30,0)),0))</f>
        <v>0</v>
      </c>
      <c r="S179" s="21">
        <f t="array" ref="S179">IF($K179="",0,IFERROR(INDEX(CATALOGOS!$B$35:$B$42,MATCH($K179,CATALOGOS!$A$35:$A$42,0)),0))</f>
        <v>0</v>
      </c>
      <c r="T179" s="21">
        <f t="array" ref="T179">IF($J179="",0,IFERROR(INDEX(CATALOGOS!$B$47:$B$51,MATCH($J179,CATALOGOS!$A$47:$A$51,0)),0))</f>
        <v>0</v>
      </c>
      <c r="U179" s="21">
        <f t="array" ref="U179">IF($M179="",0,IFERROR(INDEX(CATALOGOS!$B$56:$B$62,MATCH($M179,CATALOGOS!$A$56:$A$62,0)),0))</f>
        <v>0</v>
      </c>
      <c r="V179" s="21" t="str">
        <f t="shared" si="2"/>
        <v/>
      </c>
      <c r="W179" s="21">
        <f t="array" ref="W179">IF($D179="",0,IFERROR(INDEX(CATALOGOS!$C$6:$C$14,MATCH($D179,CATALOGOS!$A$6:$A$14,0)),0))</f>
        <v>0</v>
      </c>
      <c r="X179" s="21">
        <f t="array" ref="X179">IF($D179="",0,IFERROR(INDEX(CATALOGOS!$D$6:$D$14,MATCH($D179,CATALOGOS!$A$6:$A$14,0)),0))</f>
        <v>0</v>
      </c>
      <c r="Y179" s="21">
        <f t="array" ref="Y179">IF($D179="",0,IFERROR(INDEX(CATALOGOS!$E$6:$E$14,MATCH($D179,CATALOGOS!$A$6:$A$14,0)),0))</f>
        <v>0</v>
      </c>
      <c r="Z179" s="26" t="str">
        <f t="shared" si="3"/>
        <v/>
      </c>
    </row>
    <row r="180" ht="15.0" customHeight="1">
      <c r="A180" s="18" t="str">
        <f t="shared" si="1"/>
        <v/>
      </c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21" t="str">
        <f t="array" ref="Q180">IF($D180="","",IFERROR(INDEX(CATALOGOS!$B$6:$B$14,MATCH($D180,CATALOGOS!$A$6:$A$14,0)),0))</f>
        <v/>
      </c>
      <c r="R180" s="21">
        <f t="array" ref="R180">IF($E180="",0,IFERROR(INDEX(CATALOGOS!$B$19:$B$30,MATCH($E180,CATALOGOS!$A$19:$A$30,0)),0))</f>
        <v>0</v>
      </c>
      <c r="S180" s="21">
        <f t="array" ref="S180">IF($K180="",0,IFERROR(INDEX(CATALOGOS!$B$35:$B$42,MATCH($K180,CATALOGOS!$A$35:$A$42,0)),0))</f>
        <v>0</v>
      </c>
      <c r="T180" s="21">
        <f t="array" ref="T180">IF($J180="",0,IFERROR(INDEX(CATALOGOS!$B$47:$B$51,MATCH($J180,CATALOGOS!$A$47:$A$51,0)),0))</f>
        <v>0</v>
      </c>
      <c r="U180" s="21">
        <f t="array" ref="U180">IF($M180="",0,IFERROR(INDEX(CATALOGOS!$B$56:$B$62,MATCH($M180,CATALOGOS!$A$56:$A$62,0)),0))</f>
        <v>0</v>
      </c>
      <c r="V180" s="21" t="str">
        <f t="shared" si="2"/>
        <v/>
      </c>
      <c r="W180" s="21">
        <f t="array" ref="W180">IF($D180="",0,IFERROR(INDEX(CATALOGOS!$C$6:$C$14,MATCH($D180,CATALOGOS!$A$6:$A$14,0)),0))</f>
        <v>0</v>
      </c>
      <c r="X180" s="21">
        <f t="array" ref="X180">IF($D180="",0,IFERROR(INDEX(CATALOGOS!$D$6:$D$14,MATCH($D180,CATALOGOS!$A$6:$A$14,0)),0))</f>
        <v>0</v>
      </c>
      <c r="Y180" s="21">
        <f t="array" ref="Y180">IF($D180="",0,IFERROR(INDEX(CATALOGOS!$E$6:$E$14,MATCH($D180,CATALOGOS!$A$6:$A$14,0)),0))</f>
        <v>0</v>
      </c>
      <c r="Z180" s="26" t="str">
        <f t="shared" si="3"/>
        <v/>
      </c>
    </row>
    <row r="181" ht="15.0" customHeight="1">
      <c r="A181" s="18" t="str">
        <f t="shared" si="1"/>
        <v/>
      </c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21" t="str">
        <f t="array" ref="Q181">IF($D181="","",IFERROR(INDEX(CATALOGOS!$B$6:$B$14,MATCH($D181,CATALOGOS!$A$6:$A$14,0)),0))</f>
        <v/>
      </c>
      <c r="R181" s="21">
        <f t="array" ref="R181">IF($E181="",0,IFERROR(INDEX(CATALOGOS!$B$19:$B$30,MATCH($E181,CATALOGOS!$A$19:$A$30,0)),0))</f>
        <v>0</v>
      </c>
      <c r="S181" s="21">
        <f t="array" ref="S181">IF($K181="",0,IFERROR(INDEX(CATALOGOS!$B$35:$B$42,MATCH($K181,CATALOGOS!$A$35:$A$42,0)),0))</f>
        <v>0</v>
      </c>
      <c r="T181" s="21">
        <f t="array" ref="T181">IF($J181="",0,IFERROR(INDEX(CATALOGOS!$B$47:$B$51,MATCH($J181,CATALOGOS!$A$47:$A$51,0)),0))</f>
        <v>0</v>
      </c>
      <c r="U181" s="21">
        <f t="array" ref="U181">IF($M181="",0,IFERROR(INDEX(CATALOGOS!$B$56:$B$62,MATCH($M181,CATALOGOS!$A$56:$A$62,0)),0))</f>
        <v>0</v>
      </c>
      <c r="V181" s="21" t="str">
        <f t="shared" si="2"/>
        <v/>
      </c>
      <c r="W181" s="21">
        <f t="array" ref="W181">IF($D181="",0,IFERROR(INDEX(CATALOGOS!$C$6:$C$14,MATCH($D181,CATALOGOS!$A$6:$A$14,0)),0))</f>
        <v>0</v>
      </c>
      <c r="X181" s="21">
        <f t="array" ref="X181">IF($D181="",0,IFERROR(INDEX(CATALOGOS!$D$6:$D$14,MATCH($D181,CATALOGOS!$A$6:$A$14,0)),0))</f>
        <v>0</v>
      </c>
      <c r="Y181" s="21">
        <f t="array" ref="Y181">IF($D181="",0,IFERROR(INDEX(CATALOGOS!$E$6:$E$14,MATCH($D181,CATALOGOS!$A$6:$A$14,0)),0))</f>
        <v>0</v>
      </c>
      <c r="Z181" s="26" t="str">
        <f t="shared" si="3"/>
        <v/>
      </c>
    </row>
    <row r="182" ht="15.0" customHeight="1">
      <c r="A182" s="18" t="str">
        <f t="shared" si="1"/>
        <v/>
      </c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21" t="str">
        <f t="array" ref="Q182">IF($D182="","",IFERROR(INDEX(CATALOGOS!$B$6:$B$14,MATCH($D182,CATALOGOS!$A$6:$A$14,0)),0))</f>
        <v/>
      </c>
      <c r="R182" s="21">
        <f t="array" ref="R182">IF($E182="",0,IFERROR(INDEX(CATALOGOS!$B$19:$B$30,MATCH($E182,CATALOGOS!$A$19:$A$30,0)),0))</f>
        <v>0</v>
      </c>
      <c r="S182" s="21">
        <f t="array" ref="S182">IF($K182="",0,IFERROR(INDEX(CATALOGOS!$B$35:$B$42,MATCH($K182,CATALOGOS!$A$35:$A$42,0)),0))</f>
        <v>0</v>
      </c>
      <c r="T182" s="21">
        <f t="array" ref="T182">IF($J182="",0,IFERROR(INDEX(CATALOGOS!$B$47:$B$51,MATCH($J182,CATALOGOS!$A$47:$A$51,0)),0))</f>
        <v>0</v>
      </c>
      <c r="U182" s="21">
        <f t="array" ref="U182">IF($M182="",0,IFERROR(INDEX(CATALOGOS!$B$56:$B$62,MATCH($M182,CATALOGOS!$A$56:$A$62,0)),0))</f>
        <v>0</v>
      </c>
      <c r="V182" s="21" t="str">
        <f t="shared" si="2"/>
        <v/>
      </c>
      <c r="W182" s="21">
        <f t="array" ref="W182">IF($D182="",0,IFERROR(INDEX(CATALOGOS!$C$6:$C$14,MATCH($D182,CATALOGOS!$A$6:$A$14,0)),0))</f>
        <v>0</v>
      </c>
      <c r="X182" s="21">
        <f t="array" ref="X182">IF($D182="",0,IFERROR(INDEX(CATALOGOS!$D$6:$D$14,MATCH($D182,CATALOGOS!$A$6:$A$14,0)),0))</f>
        <v>0</v>
      </c>
      <c r="Y182" s="21">
        <f t="array" ref="Y182">IF($D182="",0,IFERROR(INDEX(CATALOGOS!$E$6:$E$14,MATCH($D182,CATALOGOS!$A$6:$A$14,0)),0))</f>
        <v>0</v>
      </c>
      <c r="Z182" s="26" t="str">
        <f t="shared" si="3"/>
        <v/>
      </c>
    </row>
    <row r="183" ht="15.0" customHeight="1">
      <c r="A183" s="18" t="str">
        <f t="shared" si="1"/>
        <v/>
      </c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21" t="str">
        <f t="array" ref="Q183">IF($D183="","",IFERROR(INDEX(CATALOGOS!$B$6:$B$14,MATCH($D183,CATALOGOS!$A$6:$A$14,0)),0))</f>
        <v/>
      </c>
      <c r="R183" s="21">
        <f t="array" ref="R183">IF($E183="",0,IFERROR(INDEX(CATALOGOS!$B$19:$B$30,MATCH($E183,CATALOGOS!$A$19:$A$30,0)),0))</f>
        <v>0</v>
      </c>
      <c r="S183" s="21">
        <f t="array" ref="S183">IF($K183="",0,IFERROR(INDEX(CATALOGOS!$B$35:$B$42,MATCH($K183,CATALOGOS!$A$35:$A$42,0)),0))</f>
        <v>0</v>
      </c>
      <c r="T183" s="21">
        <f t="array" ref="T183">IF($J183="",0,IFERROR(INDEX(CATALOGOS!$B$47:$B$51,MATCH($J183,CATALOGOS!$A$47:$A$51,0)),0))</f>
        <v>0</v>
      </c>
      <c r="U183" s="21">
        <f t="array" ref="U183">IF($M183="",0,IFERROR(INDEX(CATALOGOS!$B$56:$B$62,MATCH($M183,CATALOGOS!$A$56:$A$62,0)),0))</f>
        <v>0</v>
      </c>
      <c r="V183" s="21" t="str">
        <f t="shared" si="2"/>
        <v/>
      </c>
      <c r="W183" s="21">
        <f t="array" ref="W183">IF($D183="",0,IFERROR(INDEX(CATALOGOS!$C$6:$C$14,MATCH($D183,CATALOGOS!$A$6:$A$14,0)),0))</f>
        <v>0</v>
      </c>
      <c r="X183" s="21">
        <f t="array" ref="X183">IF($D183="",0,IFERROR(INDEX(CATALOGOS!$D$6:$D$14,MATCH($D183,CATALOGOS!$A$6:$A$14,0)),0))</f>
        <v>0</v>
      </c>
      <c r="Y183" s="21">
        <f t="array" ref="Y183">IF($D183="",0,IFERROR(INDEX(CATALOGOS!$E$6:$E$14,MATCH($D183,CATALOGOS!$A$6:$A$14,0)),0))</f>
        <v>0</v>
      </c>
      <c r="Z183" s="26" t="str">
        <f t="shared" si="3"/>
        <v/>
      </c>
    </row>
    <row r="184" ht="15.0" customHeight="1">
      <c r="A184" s="18" t="str">
        <f t="shared" si="1"/>
        <v/>
      </c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21" t="str">
        <f t="array" ref="Q184">IF($D184="","",IFERROR(INDEX(CATALOGOS!$B$6:$B$14,MATCH($D184,CATALOGOS!$A$6:$A$14,0)),0))</f>
        <v/>
      </c>
      <c r="R184" s="21">
        <f t="array" ref="R184">IF($E184="",0,IFERROR(INDEX(CATALOGOS!$B$19:$B$30,MATCH($E184,CATALOGOS!$A$19:$A$30,0)),0))</f>
        <v>0</v>
      </c>
      <c r="S184" s="21">
        <f t="array" ref="S184">IF($K184="",0,IFERROR(INDEX(CATALOGOS!$B$35:$B$42,MATCH($K184,CATALOGOS!$A$35:$A$42,0)),0))</f>
        <v>0</v>
      </c>
      <c r="T184" s="21">
        <f t="array" ref="T184">IF($J184="",0,IFERROR(INDEX(CATALOGOS!$B$47:$B$51,MATCH($J184,CATALOGOS!$A$47:$A$51,0)),0))</f>
        <v>0</v>
      </c>
      <c r="U184" s="21">
        <f t="array" ref="U184">IF($M184="",0,IFERROR(INDEX(CATALOGOS!$B$56:$B$62,MATCH($M184,CATALOGOS!$A$56:$A$62,0)),0))</f>
        <v>0</v>
      </c>
      <c r="V184" s="21" t="str">
        <f t="shared" si="2"/>
        <v/>
      </c>
      <c r="W184" s="21">
        <f t="array" ref="W184">IF($D184="",0,IFERROR(INDEX(CATALOGOS!$C$6:$C$14,MATCH($D184,CATALOGOS!$A$6:$A$14,0)),0))</f>
        <v>0</v>
      </c>
      <c r="X184" s="21">
        <f t="array" ref="X184">IF($D184="",0,IFERROR(INDEX(CATALOGOS!$D$6:$D$14,MATCH($D184,CATALOGOS!$A$6:$A$14,0)),0))</f>
        <v>0</v>
      </c>
      <c r="Y184" s="21">
        <f t="array" ref="Y184">IF($D184="",0,IFERROR(INDEX(CATALOGOS!$E$6:$E$14,MATCH($D184,CATALOGOS!$A$6:$A$14,0)),0))</f>
        <v>0</v>
      </c>
      <c r="Z184" s="26" t="str">
        <f t="shared" si="3"/>
        <v/>
      </c>
    </row>
    <row r="185" ht="15.0" customHeight="1">
      <c r="A185" s="18" t="str">
        <f t="shared" si="1"/>
        <v/>
      </c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21" t="str">
        <f t="array" ref="Q185">IF($D185="","",IFERROR(INDEX(CATALOGOS!$B$6:$B$14,MATCH($D185,CATALOGOS!$A$6:$A$14,0)),0))</f>
        <v/>
      </c>
      <c r="R185" s="21">
        <f t="array" ref="R185">IF($E185="",0,IFERROR(INDEX(CATALOGOS!$B$19:$B$30,MATCH($E185,CATALOGOS!$A$19:$A$30,0)),0))</f>
        <v>0</v>
      </c>
      <c r="S185" s="21">
        <f t="array" ref="S185">IF($K185="",0,IFERROR(INDEX(CATALOGOS!$B$35:$B$42,MATCH($K185,CATALOGOS!$A$35:$A$42,0)),0))</f>
        <v>0</v>
      </c>
      <c r="T185" s="21">
        <f t="array" ref="T185">IF($J185="",0,IFERROR(INDEX(CATALOGOS!$B$47:$B$51,MATCH($J185,CATALOGOS!$A$47:$A$51,0)),0))</f>
        <v>0</v>
      </c>
      <c r="U185" s="21">
        <f t="array" ref="U185">IF($M185="",0,IFERROR(INDEX(CATALOGOS!$B$56:$B$62,MATCH($M185,CATALOGOS!$A$56:$A$62,0)),0))</f>
        <v>0</v>
      </c>
      <c r="V185" s="21" t="str">
        <f t="shared" si="2"/>
        <v/>
      </c>
      <c r="W185" s="21">
        <f t="array" ref="W185">IF($D185="",0,IFERROR(INDEX(CATALOGOS!$C$6:$C$14,MATCH($D185,CATALOGOS!$A$6:$A$14,0)),0))</f>
        <v>0</v>
      </c>
      <c r="X185" s="21">
        <f t="array" ref="X185">IF($D185="",0,IFERROR(INDEX(CATALOGOS!$D$6:$D$14,MATCH($D185,CATALOGOS!$A$6:$A$14,0)),0))</f>
        <v>0</v>
      </c>
      <c r="Y185" s="21">
        <f t="array" ref="Y185">IF($D185="",0,IFERROR(INDEX(CATALOGOS!$E$6:$E$14,MATCH($D185,CATALOGOS!$A$6:$A$14,0)),0))</f>
        <v>0</v>
      </c>
      <c r="Z185" s="26" t="str">
        <f t="shared" si="3"/>
        <v/>
      </c>
    </row>
    <row r="186" ht="15.0" customHeight="1">
      <c r="A186" s="18" t="str">
        <f t="shared" si="1"/>
        <v/>
      </c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21" t="str">
        <f t="array" ref="Q186">IF($D186="","",IFERROR(INDEX(CATALOGOS!$B$6:$B$14,MATCH($D186,CATALOGOS!$A$6:$A$14,0)),0))</f>
        <v/>
      </c>
      <c r="R186" s="21">
        <f t="array" ref="R186">IF($E186="",0,IFERROR(INDEX(CATALOGOS!$B$19:$B$30,MATCH($E186,CATALOGOS!$A$19:$A$30,0)),0))</f>
        <v>0</v>
      </c>
      <c r="S186" s="21">
        <f t="array" ref="S186">IF($K186="",0,IFERROR(INDEX(CATALOGOS!$B$35:$B$42,MATCH($K186,CATALOGOS!$A$35:$A$42,0)),0))</f>
        <v>0</v>
      </c>
      <c r="T186" s="21">
        <f t="array" ref="T186">IF($J186="",0,IFERROR(INDEX(CATALOGOS!$B$47:$B$51,MATCH($J186,CATALOGOS!$A$47:$A$51,0)),0))</f>
        <v>0</v>
      </c>
      <c r="U186" s="21">
        <f t="array" ref="U186">IF($M186="",0,IFERROR(INDEX(CATALOGOS!$B$56:$B$62,MATCH($M186,CATALOGOS!$A$56:$A$62,0)),0))</f>
        <v>0</v>
      </c>
      <c r="V186" s="21" t="str">
        <f t="shared" si="2"/>
        <v/>
      </c>
      <c r="W186" s="21">
        <f t="array" ref="W186">IF($D186="",0,IFERROR(INDEX(CATALOGOS!$C$6:$C$14,MATCH($D186,CATALOGOS!$A$6:$A$14,0)),0))</f>
        <v>0</v>
      </c>
      <c r="X186" s="21">
        <f t="array" ref="X186">IF($D186="",0,IFERROR(INDEX(CATALOGOS!$D$6:$D$14,MATCH($D186,CATALOGOS!$A$6:$A$14,0)),0))</f>
        <v>0</v>
      </c>
      <c r="Y186" s="21">
        <f t="array" ref="Y186">IF($D186="",0,IFERROR(INDEX(CATALOGOS!$E$6:$E$14,MATCH($D186,CATALOGOS!$A$6:$A$14,0)),0))</f>
        <v>0</v>
      </c>
      <c r="Z186" s="26" t="str">
        <f t="shared" si="3"/>
        <v/>
      </c>
    </row>
    <row r="187" ht="15.0" customHeight="1">
      <c r="A187" s="18" t="str">
        <f t="shared" si="1"/>
        <v/>
      </c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21" t="str">
        <f t="array" ref="Q187">IF($D187="","",IFERROR(INDEX(CATALOGOS!$B$6:$B$14,MATCH($D187,CATALOGOS!$A$6:$A$14,0)),0))</f>
        <v/>
      </c>
      <c r="R187" s="21">
        <f t="array" ref="R187">IF($E187="",0,IFERROR(INDEX(CATALOGOS!$B$19:$B$30,MATCH($E187,CATALOGOS!$A$19:$A$30,0)),0))</f>
        <v>0</v>
      </c>
      <c r="S187" s="21">
        <f t="array" ref="S187">IF($K187="",0,IFERROR(INDEX(CATALOGOS!$B$35:$B$42,MATCH($K187,CATALOGOS!$A$35:$A$42,0)),0))</f>
        <v>0</v>
      </c>
      <c r="T187" s="21">
        <f t="array" ref="T187">IF($J187="",0,IFERROR(INDEX(CATALOGOS!$B$47:$B$51,MATCH($J187,CATALOGOS!$A$47:$A$51,0)),0))</f>
        <v>0</v>
      </c>
      <c r="U187" s="21">
        <f t="array" ref="U187">IF($M187="",0,IFERROR(INDEX(CATALOGOS!$B$56:$B$62,MATCH($M187,CATALOGOS!$A$56:$A$62,0)),0))</f>
        <v>0</v>
      </c>
      <c r="V187" s="21" t="str">
        <f t="shared" si="2"/>
        <v/>
      </c>
      <c r="W187" s="21">
        <f t="array" ref="W187">IF($D187="",0,IFERROR(INDEX(CATALOGOS!$C$6:$C$14,MATCH($D187,CATALOGOS!$A$6:$A$14,0)),0))</f>
        <v>0</v>
      </c>
      <c r="X187" s="21">
        <f t="array" ref="X187">IF($D187="",0,IFERROR(INDEX(CATALOGOS!$D$6:$D$14,MATCH($D187,CATALOGOS!$A$6:$A$14,0)),0))</f>
        <v>0</v>
      </c>
      <c r="Y187" s="21">
        <f t="array" ref="Y187">IF($D187="",0,IFERROR(INDEX(CATALOGOS!$E$6:$E$14,MATCH($D187,CATALOGOS!$A$6:$A$14,0)),0))</f>
        <v>0</v>
      </c>
      <c r="Z187" s="26" t="str">
        <f t="shared" si="3"/>
        <v/>
      </c>
    </row>
    <row r="188" ht="15.0" customHeight="1">
      <c r="A188" s="18" t="str">
        <f t="shared" si="1"/>
        <v/>
      </c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21" t="str">
        <f t="array" ref="Q188">IF($D188="","",IFERROR(INDEX(CATALOGOS!$B$6:$B$14,MATCH($D188,CATALOGOS!$A$6:$A$14,0)),0))</f>
        <v/>
      </c>
      <c r="R188" s="21">
        <f t="array" ref="R188">IF($E188="",0,IFERROR(INDEX(CATALOGOS!$B$19:$B$30,MATCH($E188,CATALOGOS!$A$19:$A$30,0)),0))</f>
        <v>0</v>
      </c>
      <c r="S188" s="21">
        <f t="array" ref="S188">IF($K188="",0,IFERROR(INDEX(CATALOGOS!$B$35:$B$42,MATCH($K188,CATALOGOS!$A$35:$A$42,0)),0))</f>
        <v>0</v>
      </c>
      <c r="T188" s="21">
        <f t="array" ref="T188">IF($J188="",0,IFERROR(INDEX(CATALOGOS!$B$47:$B$51,MATCH($J188,CATALOGOS!$A$47:$A$51,0)),0))</f>
        <v>0</v>
      </c>
      <c r="U188" s="21">
        <f t="array" ref="U188">IF($M188="",0,IFERROR(INDEX(CATALOGOS!$B$56:$B$62,MATCH($M188,CATALOGOS!$A$56:$A$62,0)),0))</f>
        <v>0</v>
      </c>
      <c r="V188" s="21" t="str">
        <f t="shared" si="2"/>
        <v/>
      </c>
      <c r="W188" s="21">
        <f t="array" ref="W188">IF($D188="",0,IFERROR(INDEX(CATALOGOS!$C$6:$C$14,MATCH($D188,CATALOGOS!$A$6:$A$14,0)),0))</f>
        <v>0</v>
      </c>
      <c r="X188" s="21">
        <f t="array" ref="X188">IF($D188="",0,IFERROR(INDEX(CATALOGOS!$D$6:$D$14,MATCH($D188,CATALOGOS!$A$6:$A$14,0)),0))</f>
        <v>0</v>
      </c>
      <c r="Y188" s="21">
        <f t="array" ref="Y188">IF($D188="",0,IFERROR(INDEX(CATALOGOS!$E$6:$E$14,MATCH($D188,CATALOGOS!$A$6:$A$14,0)),0))</f>
        <v>0</v>
      </c>
      <c r="Z188" s="26" t="str">
        <f t="shared" si="3"/>
        <v/>
      </c>
    </row>
    <row r="189" ht="15.0" customHeight="1">
      <c r="A189" s="18" t="str">
        <f t="shared" si="1"/>
        <v/>
      </c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21" t="str">
        <f t="array" ref="Q189">IF($D189="","",IFERROR(INDEX(CATALOGOS!$B$6:$B$14,MATCH($D189,CATALOGOS!$A$6:$A$14,0)),0))</f>
        <v/>
      </c>
      <c r="R189" s="21">
        <f t="array" ref="R189">IF($E189="",0,IFERROR(INDEX(CATALOGOS!$B$19:$B$30,MATCH($E189,CATALOGOS!$A$19:$A$30,0)),0))</f>
        <v>0</v>
      </c>
      <c r="S189" s="21">
        <f t="array" ref="S189">IF($K189="",0,IFERROR(INDEX(CATALOGOS!$B$35:$B$42,MATCH($K189,CATALOGOS!$A$35:$A$42,0)),0))</f>
        <v>0</v>
      </c>
      <c r="T189" s="21">
        <f t="array" ref="T189">IF($J189="",0,IFERROR(INDEX(CATALOGOS!$B$47:$B$51,MATCH($J189,CATALOGOS!$A$47:$A$51,0)),0))</f>
        <v>0</v>
      </c>
      <c r="U189" s="21">
        <f t="array" ref="U189">IF($M189="",0,IFERROR(INDEX(CATALOGOS!$B$56:$B$62,MATCH($M189,CATALOGOS!$A$56:$A$62,0)),0))</f>
        <v>0</v>
      </c>
      <c r="V189" s="21" t="str">
        <f t="shared" si="2"/>
        <v/>
      </c>
      <c r="W189" s="21">
        <f t="array" ref="W189">IF($D189="",0,IFERROR(INDEX(CATALOGOS!$C$6:$C$14,MATCH($D189,CATALOGOS!$A$6:$A$14,0)),0))</f>
        <v>0</v>
      </c>
      <c r="X189" s="21">
        <f t="array" ref="X189">IF($D189="",0,IFERROR(INDEX(CATALOGOS!$D$6:$D$14,MATCH($D189,CATALOGOS!$A$6:$A$14,0)),0))</f>
        <v>0</v>
      </c>
      <c r="Y189" s="21">
        <f t="array" ref="Y189">IF($D189="",0,IFERROR(INDEX(CATALOGOS!$E$6:$E$14,MATCH($D189,CATALOGOS!$A$6:$A$14,0)),0))</f>
        <v>0</v>
      </c>
      <c r="Z189" s="26" t="str">
        <f t="shared" si="3"/>
        <v/>
      </c>
    </row>
    <row r="190" ht="15.0" customHeight="1">
      <c r="A190" s="18" t="str">
        <f t="shared" si="1"/>
        <v/>
      </c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21" t="str">
        <f t="array" ref="Q190">IF($D190="","",IFERROR(INDEX(CATALOGOS!$B$6:$B$14,MATCH($D190,CATALOGOS!$A$6:$A$14,0)),0))</f>
        <v/>
      </c>
      <c r="R190" s="21">
        <f t="array" ref="R190">IF($E190="",0,IFERROR(INDEX(CATALOGOS!$B$19:$B$30,MATCH($E190,CATALOGOS!$A$19:$A$30,0)),0))</f>
        <v>0</v>
      </c>
      <c r="S190" s="21">
        <f t="array" ref="S190">IF($K190="",0,IFERROR(INDEX(CATALOGOS!$B$35:$B$42,MATCH($K190,CATALOGOS!$A$35:$A$42,0)),0))</f>
        <v>0</v>
      </c>
      <c r="T190" s="21">
        <f t="array" ref="T190">IF($J190="",0,IFERROR(INDEX(CATALOGOS!$B$47:$B$51,MATCH($J190,CATALOGOS!$A$47:$A$51,0)),0))</f>
        <v>0</v>
      </c>
      <c r="U190" s="21">
        <f t="array" ref="U190">IF($M190="",0,IFERROR(INDEX(CATALOGOS!$B$56:$B$62,MATCH($M190,CATALOGOS!$A$56:$A$62,0)),0))</f>
        <v>0</v>
      </c>
      <c r="V190" s="21" t="str">
        <f t="shared" si="2"/>
        <v/>
      </c>
      <c r="W190" s="21">
        <f t="array" ref="W190">IF($D190="",0,IFERROR(INDEX(CATALOGOS!$C$6:$C$14,MATCH($D190,CATALOGOS!$A$6:$A$14,0)),0))</f>
        <v>0</v>
      </c>
      <c r="X190" s="21">
        <f t="array" ref="X190">IF($D190="",0,IFERROR(INDEX(CATALOGOS!$D$6:$D$14,MATCH($D190,CATALOGOS!$A$6:$A$14,0)),0))</f>
        <v>0</v>
      </c>
      <c r="Y190" s="21">
        <f t="array" ref="Y190">IF($D190="",0,IFERROR(INDEX(CATALOGOS!$E$6:$E$14,MATCH($D190,CATALOGOS!$A$6:$A$14,0)),0))</f>
        <v>0</v>
      </c>
      <c r="Z190" s="26" t="str">
        <f t="shared" si="3"/>
        <v/>
      </c>
    </row>
    <row r="191" ht="15.0" customHeight="1">
      <c r="A191" s="18" t="str">
        <f t="shared" si="1"/>
        <v/>
      </c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21" t="str">
        <f t="array" ref="Q191">IF($D191="","",IFERROR(INDEX(CATALOGOS!$B$6:$B$14,MATCH($D191,CATALOGOS!$A$6:$A$14,0)),0))</f>
        <v/>
      </c>
      <c r="R191" s="21">
        <f t="array" ref="R191">IF($E191="",0,IFERROR(INDEX(CATALOGOS!$B$19:$B$30,MATCH($E191,CATALOGOS!$A$19:$A$30,0)),0))</f>
        <v>0</v>
      </c>
      <c r="S191" s="21">
        <f t="array" ref="S191">IF($K191="",0,IFERROR(INDEX(CATALOGOS!$B$35:$B$42,MATCH($K191,CATALOGOS!$A$35:$A$42,0)),0))</f>
        <v>0</v>
      </c>
      <c r="T191" s="21">
        <f t="array" ref="T191">IF($J191="",0,IFERROR(INDEX(CATALOGOS!$B$47:$B$51,MATCH($J191,CATALOGOS!$A$47:$A$51,0)),0))</f>
        <v>0</v>
      </c>
      <c r="U191" s="21">
        <f t="array" ref="U191">IF($M191="",0,IFERROR(INDEX(CATALOGOS!$B$56:$B$62,MATCH($M191,CATALOGOS!$A$56:$A$62,0)),0))</f>
        <v>0</v>
      </c>
      <c r="V191" s="21" t="str">
        <f t="shared" si="2"/>
        <v/>
      </c>
      <c r="W191" s="21">
        <f t="array" ref="W191">IF($D191="",0,IFERROR(INDEX(CATALOGOS!$C$6:$C$14,MATCH($D191,CATALOGOS!$A$6:$A$14,0)),0))</f>
        <v>0</v>
      </c>
      <c r="X191" s="21">
        <f t="array" ref="X191">IF($D191="",0,IFERROR(INDEX(CATALOGOS!$D$6:$D$14,MATCH($D191,CATALOGOS!$A$6:$A$14,0)),0))</f>
        <v>0</v>
      </c>
      <c r="Y191" s="21">
        <f t="array" ref="Y191">IF($D191="",0,IFERROR(INDEX(CATALOGOS!$E$6:$E$14,MATCH($D191,CATALOGOS!$A$6:$A$14,0)),0))</f>
        <v>0</v>
      </c>
      <c r="Z191" s="26" t="str">
        <f t="shared" si="3"/>
        <v/>
      </c>
    </row>
    <row r="192" ht="15.0" customHeight="1">
      <c r="A192" s="18" t="str">
        <f t="shared" si="1"/>
        <v/>
      </c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21" t="str">
        <f t="array" ref="Q192">IF($D192="","",IFERROR(INDEX(CATALOGOS!$B$6:$B$14,MATCH($D192,CATALOGOS!$A$6:$A$14,0)),0))</f>
        <v/>
      </c>
      <c r="R192" s="21">
        <f t="array" ref="R192">IF($E192="",0,IFERROR(INDEX(CATALOGOS!$B$19:$B$30,MATCH($E192,CATALOGOS!$A$19:$A$30,0)),0))</f>
        <v>0</v>
      </c>
      <c r="S192" s="21">
        <f t="array" ref="S192">IF($K192="",0,IFERROR(INDEX(CATALOGOS!$B$35:$B$42,MATCH($K192,CATALOGOS!$A$35:$A$42,0)),0))</f>
        <v>0</v>
      </c>
      <c r="T192" s="21">
        <f t="array" ref="T192">IF($J192="",0,IFERROR(INDEX(CATALOGOS!$B$47:$B$51,MATCH($J192,CATALOGOS!$A$47:$A$51,0)),0))</f>
        <v>0</v>
      </c>
      <c r="U192" s="21">
        <f t="array" ref="U192">IF($M192="",0,IFERROR(INDEX(CATALOGOS!$B$56:$B$62,MATCH($M192,CATALOGOS!$A$56:$A$62,0)),0))</f>
        <v>0</v>
      </c>
      <c r="V192" s="21" t="str">
        <f t="shared" si="2"/>
        <v/>
      </c>
      <c r="W192" s="21">
        <f t="array" ref="W192">IF($D192="",0,IFERROR(INDEX(CATALOGOS!$C$6:$C$14,MATCH($D192,CATALOGOS!$A$6:$A$14,0)),0))</f>
        <v>0</v>
      </c>
      <c r="X192" s="21">
        <f t="array" ref="X192">IF($D192="",0,IFERROR(INDEX(CATALOGOS!$D$6:$D$14,MATCH($D192,CATALOGOS!$A$6:$A$14,0)),0))</f>
        <v>0</v>
      </c>
      <c r="Y192" s="21">
        <f t="array" ref="Y192">IF($D192="",0,IFERROR(INDEX(CATALOGOS!$E$6:$E$14,MATCH($D192,CATALOGOS!$A$6:$A$14,0)),0))</f>
        <v>0</v>
      </c>
      <c r="Z192" s="26" t="str">
        <f t="shared" si="3"/>
        <v/>
      </c>
    </row>
    <row r="193" ht="15.0" customHeight="1">
      <c r="A193" s="18" t="str">
        <f t="shared" si="1"/>
        <v/>
      </c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21" t="str">
        <f t="array" ref="Q193">IF($D193="","",IFERROR(INDEX(CATALOGOS!$B$6:$B$14,MATCH($D193,CATALOGOS!$A$6:$A$14,0)),0))</f>
        <v/>
      </c>
      <c r="R193" s="21">
        <f t="array" ref="R193">IF($E193="",0,IFERROR(INDEX(CATALOGOS!$B$19:$B$30,MATCH($E193,CATALOGOS!$A$19:$A$30,0)),0))</f>
        <v>0</v>
      </c>
      <c r="S193" s="21">
        <f t="array" ref="S193">IF($K193="",0,IFERROR(INDEX(CATALOGOS!$B$35:$B$42,MATCH($K193,CATALOGOS!$A$35:$A$42,0)),0))</f>
        <v>0</v>
      </c>
      <c r="T193" s="21">
        <f t="array" ref="T193">IF($J193="",0,IFERROR(INDEX(CATALOGOS!$B$47:$B$51,MATCH($J193,CATALOGOS!$A$47:$A$51,0)),0))</f>
        <v>0</v>
      </c>
      <c r="U193" s="21">
        <f t="array" ref="U193">IF($M193="",0,IFERROR(INDEX(CATALOGOS!$B$56:$B$62,MATCH($M193,CATALOGOS!$A$56:$A$62,0)),0))</f>
        <v>0</v>
      </c>
      <c r="V193" s="21" t="str">
        <f t="shared" si="2"/>
        <v/>
      </c>
      <c r="W193" s="21">
        <f t="array" ref="W193">IF($D193="",0,IFERROR(INDEX(CATALOGOS!$C$6:$C$14,MATCH($D193,CATALOGOS!$A$6:$A$14,0)),0))</f>
        <v>0</v>
      </c>
      <c r="X193" s="21">
        <f t="array" ref="X193">IF($D193="",0,IFERROR(INDEX(CATALOGOS!$D$6:$D$14,MATCH($D193,CATALOGOS!$A$6:$A$14,0)),0))</f>
        <v>0</v>
      </c>
      <c r="Y193" s="21">
        <f t="array" ref="Y193">IF($D193="",0,IFERROR(INDEX(CATALOGOS!$E$6:$E$14,MATCH($D193,CATALOGOS!$A$6:$A$14,0)),0))</f>
        <v>0</v>
      </c>
      <c r="Z193" s="26" t="str">
        <f t="shared" si="3"/>
        <v/>
      </c>
    </row>
    <row r="194" ht="15.0" customHeight="1">
      <c r="A194" s="18" t="str">
        <f t="shared" si="1"/>
        <v/>
      </c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21" t="str">
        <f t="array" ref="Q194">IF($D194="","",IFERROR(INDEX(CATALOGOS!$B$6:$B$14,MATCH($D194,CATALOGOS!$A$6:$A$14,0)),0))</f>
        <v/>
      </c>
      <c r="R194" s="21">
        <f t="array" ref="R194">IF($E194="",0,IFERROR(INDEX(CATALOGOS!$B$19:$B$30,MATCH($E194,CATALOGOS!$A$19:$A$30,0)),0))</f>
        <v>0</v>
      </c>
      <c r="S194" s="21">
        <f t="array" ref="S194">IF($K194="",0,IFERROR(INDEX(CATALOGOS!$B$35:$B$42,MATCH($K194,CATALOGOS!$A$35:$A$42,0)),0))</f>
        <v>0</v>
      </c>
      <c r="T194" s="21">
        <f t="array" ref="T194">IF($J194="",0,IFERROR(INDEX(CATALOGOS!$B$47:$B$51,MATCH($J194,CATALOGOS!$A$47:$A$51,0)),0))</f>
        <v>0</v>
      </c>
      <c r="U194" s="21">
        <f t="array" ref="U194">IF($M194="",0,IFERROR(INDEX(CATALOGOS!$B$56:$B$62,MATCH($M194,CATALOGOS!$A$56:$A$62,0)),0))</f>
        <v>0</v>
      </c>
      <c r="V194" s="21" t="str">
        <f t="shared" si="2"/>
        <v/>
      </c>
      <c r="W194" s="21">
        <f t="array" ref="W194">IF($D194="",0,IFERROR(INDEX(CATALOGOS!$C$6:$C$14,MATCH($D194,CATALOGOS!$A$6:$A$14,0)),0))</f>
        <v>0</v>
      </c>
      <c r="X194" s="21">
        <f t="array" ref="X194">IF($D194="",0,IFERROR(INDEX(CATALOGOS!$D$6:$D$14,MATCH($D194,CATALOGOS!$A$6:$A$14,0)),0))</f>
        <v>0</v>
      </c>
      <c r="Y194" s="21">
        <f t="array" ref="Y194">IF($D194="",0,IFERROR(INDEX(CATALOGOS!$E$6:$E$14,MATCH($D194,CATALOGOS!$A$6:$A$14,0)),0))</f>
        <v>0</v>
      </c>
      <c r="Z194" s="26" t="str">
        <f t="shared" si="3"/>
        <v/>
      </c>
    </row>
    <row r="195" ht="15.0" customHeight="1">
      <c r="A195" s="18" t="str">
        <f t="shared" si="1"/>
        <v/>
      </c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21" t="str">
        <f t="array" ref="Q195">IF($D195="","",IFERROR(INDEX(CATALOGOS!$B$6:$B$14,MATCH($D195,CATALOGOS!$A$6:$A$14,0)),0))</f>
        <v/>
      </c>
      <c r="R195" s="21">
        <f t="array" ref="R195">IF($E195="",0,IFERROR(INDEX(CATALOGOS!$B$19:$B$30,MATCH($E195,CATALOGOS!$A$19:$A$30,0)),0))</f>
        <v>0</v>
      </c>
      <c r="S195" s="21">
        <f t="array" ref="S195">IF($K195="",0,IFERROR(INDEX(CATALOGOS!$B$35:$B$42,MATCH($K195,CATALOGOS!$A$35:$A$42,0)),0))</f>
        <v>0</v>
      </c>
      <c r="T195" s="21">
        <f t="array" ref="T195">IF($J195="",0,IFERROR(INDEX(CATALOGOS!$B$47:$B$51,MATCH($J195,CATALOGOS!$A$47:$A$51,0)),0))</f>
        <v>0</v>
      </c>
      <c r="U195" s="21">
        <f t="array" ref="U195">IF($M195="",0,IFERROR(INDEX(CATALOGOS!$B$56:$B$62,MATCH($M195,CATALOGOS!$A$56:$A$62,0)),0))</f>
        <v>0</v>
      </c>
      <c r="V195" s="21" t="str">
        <f t="shared" si="2"/>
        <v/>
      </c>
      <c r="W195" s="21">
        <f t="array" ref="W195">IF($D195="",0,IFERROR(INDEX(CATALOGOS!$C$6:$C$14,MATCH($D195,CATALOGOS!$A$6:$A$14,0)),0))</f>
        <v>0</v>
      </c>
      <c r="X195" s="21">
        <f t="array" ref="X195">IF($D195="",0,IFERROR(INDEX(CATALOGOS!$D$6:$D$14,MATCH($D195,CATALOGOS!$A$6:$A$14,0)),0))</f>
        <v>0</v>
      </c>
      <c r="Y195" s="21">
        <f t="array" ref="Y195">IF($D195="",0,IFERROR(INDEX(CATALOGOS!$E$6:$E$14,MATCH($D195,CATALOGOS!$A$6:$A$14,0)),0))</f>
        <v>0</v>
      </c>
      <c r="Z195" s="26" t="str">
        <f t="shared" si="3"/>
        <v/>
      </c>
    </row>
    <row r="196" ht="15.0" customHeight="1">
      <c r="A196" s="18" t="str">
        <f t="shared" si="1"/>
        <v/>
      </c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21" t="str">
        <f t="array" ref="Q196">IF($D196="","",IFERROR(INDEX(CATALOGOS!$B$6:$B$14,MATCH($D196,CATALOGOS!$A$6:$A$14,0)),0))</f>
        <v/>
      </c>
      <c r="R196" s="21">
        <f t="array" ref="R196">IF($E196="",0,IFERROR(INDEX(CATALOGOS!$B$19:$B$30,MATCH($E196,CATALOGOS!$A$19:$A$30,0)),0))</f>
        <v>0</v>
      </c>
      <c r="S196" s="21">
        <f t="array" ref="S196">IF($K196="",0,IFERROR(INDEX(CATALOGOS!$B$35:$B$42,MATCH($K196,CATALOGOS!$A$35:$A$42,0)),0))</f>
        <v>0</v>
      </c>
      <c r="T196" s="21">
        <f t="array" ref="T196">IF($J196="",0,IFERROR(INDEX(CATALOGOS!$B$47:$B$51,MATCH($J196,CATALOGOS!$A$47:$A$51,0)),0))</f>
        <v>0</v>
      </c>
      <c r="U196" s="21">
        <f t="array" ref="U196">IF($M196="",0,IFERROR(INDEX(CATALOGOS!$B$56:$B$62,MATCH($M196,CATALOGOS!$A$56:$A$62,0)),0))</f>
        <v>0</v>
      </c>
      <c r="V196" s="21" t="str">
        <f t="shared" si="2"/>
        <v/>
      </c>
      <c r="W196" s="21">
        <f t="array" ref="W196">IF($D196="",0,IFERROR(INDEX(CATALOGOS!$C$6:$C$14,MATCH($D196,CATALOGOS!$A$6:$A$14,0)),0))</f>
        <v>0</v>
      </c>
      <c r="X196" s="21">
        <f t="array" ref="X196">IF($D196="",0,IFERROR(INDEX(CATALOGOS!$D$6:$D$14,MATCH($D196,CATALOGOS!$A$6:$A$14,0)),0))</f>
        <v>0</v>
      </c>
      <c r="Y196" s="21">
        <f t="array" ref="Y196">IF($D196="",0,IFERROR(INDEX(CATALOGOS!$E$6:$E$14,MATCH($D196,CATALOGOS!$A$6:$A$14,0)),0))</f>
        <v>0</v>
      </c>
      <c r="Z196" s="26" t="str">
        <f t="shared" si="3"/>
        <v/>
      </c>
    </row>
    <row r="197" ht="15.0" customHeight="1">
      <c r="A197" s="18" t="str">
        <f t="shared" si="1"/>
        <v/>
      </c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21" t="str">
        <f t="array" ref="Q197">IF($D197="","",IFERROR(INDEX(CATALOGOS!$B$6:$B$14,MATCH($D197,CATALOGOS!$A$6:$A$14,0)),0))</f>
        <v/>
      </c>
      <c r="R197" s="21">
        <f t="array" ref="R197">IF($E197="",0,IFERROR(INDEX(CATALOGOS!$B$19:$B$30,MATCH($E197,CATALOGOS!$A$19:$A$30,0)),0))</f>
        <v>0</v>
      </c>
      <c r="S197" s="21">
        <f t="array" ref="S197">IF($K197="",0,IFERROR(INDEX(CATALOGOS!$B$35:$B$42,MATCH($K197,CATALOGOS!$A$35:$A$42,0)),0))</f>
        <v>0</v>
      </c>
      <c r="T197" s="21">
        <f t="array" ref="T197">IF($J197="",0,IFERROR(INDEX(CATALOGOS!$B$47:$B$51,MATCH($J197,CATALOGOS!$A$47:$A$51,0)),0))</f>
        <v>0</v>
      </c>
      <c r="U197" s="21">
        <f t="array" ref="U197">IF($M197="",0,IFERROR(INDEX(CATALOGOS!$B$56:$B$62,MATCH($M197,CATALOGOS!$A$56:$A$62,0)),0))</f>
        <v>0</v>
      </c>
      <c r="V197" s="21" t="str">
        <f t="shared" si="2"/>
        <v/>
      </c>
      <c r="W197" s="21">
        <f t="array" ref="W197">IF($D197="",0,IFERROR(INDEX(CATALOGOS!$C$6:$C$14,MATCH($D197,CATALOGOS!$A$6:$A$14,0)),0))</f>
        <v>0</v>
      </c>
      <c r="X197" s="21">
        <f t="array" ref="X197">IF($D197="",0,IFERROR(INDEX(CATALOGOS!$D$6:$D$14,MATCH($D197,CATALOGOS!$A$6:$A$14,0)),0))</f>
        <v>0</v>
      </c>
      <c r="Y197" s="21">
        <f t="array" ref="Y197">IF($D197="",0,IFERROR(INDEX(CATALOGOS!$E$6:$E$14,MATCH($D197,CATALOGOS!$A$6:$A$14,0)),0))</f>
        <v>0</v>
      </c>
      <c r="Z197" s="26" t="str">
        <f t="shared" si="3"/>
        <v/>
      </c>
    </row>
    <row r="198" ht="15.0" customHeight="1">
      <c r="A198" s="18" t="str">
        <f t="shared" si="1"/>
        <v/>
      </c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21" t="str">
        <f t="array" ref="Q198">IF($D198="","",IFERROR(INDEX(CATALOGOS!$B$6:$B$14,MATCH($D198,CATALOGOS!$A$6:$A$14,0)),0))</f>
        <v/>
      </c>
      <c r="R198" s="21">
        <f t="array" ref="R198">IF($E198="",0,IFERROR(INDEX(CATALOGOS!$B$19:$B$30,MATCH($E198,CATALOGOS!$A$19:$A$30,0)),0))</f>
        <v>0</v>
      </c>
      <c r="S198" s="21">
        <f t="array" ref="S198">IF($K198="",0,IFERROR(INDEX(CATALOGOS!$B$35:$B$42,MATCH($K198,CATALOGOS!$A$35:$A$42,0)),0))</f>
        <v>0</v>
      </c>
      <c r="T198" s="21">
        <f t="array" ref="T198">IF($J198="",0,IFERROR(INDEX(CATALOGOS!$B$47:$B$51,MATCH($J198,CATALOGOS!$A$47:$A$51,0)),0))</f>
        <v>0</v>
      </c>
      <c r="U198" s="21">
        <f t="array" ref="U198">IF($M198="",0,IFERROR(INDEX(CATALOGOS!$B$56:$B$62,MATCH($M198,CATALOGOS!$A$56:$A$62,0)),0))</f>
        <v>0</v>
      </c>
      <c r="V198" s="21" t="str">
        <f t="shared" si="2"/>
        <v/>
      </c>
      <c r="W198" s="21">
        <f t="array" ref="W198">IF($D198="",0,IFERROR(INDEX(CATALOGOS!$C$6:$C$14,MATCH($D198,CATALOGOS!$A$6:$A$14,0)),0))</f>
        <v>0</v>
      </c>
      <c r="X198" s="21">
        <f t="array" ref="X198">IF($D198="",0,IFERROR(INDEX(CATALOGOS!$D$6:$D$14,MATCH($D198,CATALOGOS!$A$6:$A$14,0)),0))</f>
        <v>0</v>
      </c>
      <c r="Y198" s="21">
        <f t="array" ref="Y198">IF($D198="",0,IFERROR(INDEX(CATALOGOS!$E$6:$E$14,MATCH($D198,CATALOGOS!$A$6:$A$14,0)),0))</f>
        <v>0</v>
      </c>
      <c r="Z198" s="26" t="str">
        <f t="shared" si="3"/>
        <v/>
      </c>
    </row>
    <row r="199" ht="15.0" customHeight="1">
      <c r="A199" s="18" t="str">
        <f t="shared" si="1"/>
        <v/>
      </c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21" t="str">
        <f t="array" ref="Q199">IF($D199="","",IFERROR(INDEX(CATALOGOS!$B$6:$B$14,MATCH($D199,CATALOGOS!$A$6:$A$14,0)),0))</f>
        <v/>
      </c>
      <c r="R199" s="21">
        <f t="array" ref="R199">IF($E199="",0,IFERROR(INDEX(CATALOGOS!$B$19:$B$30,MATCH($E199,CATALOGOS!$A$19:$A$30,0)),0))</f>
        <v>0</v>
      </c>
      <c r="S199" s="21">
        <f t="array" ref="S199">IF($K199="",0,IFERROR(INDEX(CATALOGOS!$B$35:$B$42,MATCH($K199,CATALOGOS!$A$35:$A$42,0)),0))</f>
        <v>0</v>
      </c>
      <c r="T199" s="21">
        <f t="array" ref="T199">IF($J199="",0,IFERROR(INDEX(CATALOGOS!$B$47:$B$51,MATCH($J199,CATALOGOS!$A$47:$A$51,0)),0))</f>
        <v>0</v>
      </c>
      <c r="U199" s="21">
        <f t="array" ref="U199">IF($M199="",0,IFERROR(INDEX(CATALOGOS!$B$56:$B$62,MATCH($M199,CATALOGOS!$A$56:$A$62,0)),0))</f>
        <v>0</v>
      </c>
      <c r="V199" s="21" t="str">
        <f t="shared" si="2"/>
        <v/>
      </c>
      <c r="W199" s="21">
        <f t="array" ref="W199">IF($D199="",0,IFERROR(INDEX(CATALOGOS!$C$6:$C$14,MATCH($D199,CATALOGOS!$A$6:$A$14,0)),0))</f>
        <v>0</v>
      </c>
      <c r="X199" s="21">
        <f t="array" ref="X199">IF($D199="",0,IFERROR(INDEX(CATALOGOS!$D$6:$D$14,MATCH($D199,CATALOGOS!$A$6:$A$14,0)),0))</f>
        <v>0</v>
      </c>
      <c r="Y199" s="21">
        <f t="array" ref="Y199">IF($D199="",0,IFERROR(INDEX(CATALOGOS!$E$6:$E$14,MATCH($D199,CATALOGOS!$A$6:$A$14,0)),0))</f>
        <v>0</v>
      </c>
      <c r="Z199" s="26" t="str">
        <f t="shared" si="3"/>
        <v/>
      </c>
    </row>
    <row r="200" ht="15.0" customHeight="1">
      <c r="A200" s="18" t="str">
        <f t="shared" si="1"/>
        <v/>
      </c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21" t="str">
        <f t="array" ref="Q200">IF($D200="","",IFERROR(INDEX(CATALOGOS!$B$6:$B$14,MATCH($D200,CATALOGOS!$A$6:$A$14,0)),0))</f>
        <v/>
      </c>
      <c r="R200" s="21">
        <f t="array" ref="R200">IF($E200="",0,IFERROR(INDEX(CATALOGOS!$B$19:$B$30,MATCH($E200,CATALOGOS!$A$19:$A$30,0)),0))</f>
        <v>0</v>
      </c>
      <c r="S200" s="21">
        <f t="array" ref="S200">IF($K200="",0,IFERROR(INDEX(CATALOGOS!$B$35:$B$42,MATCH($K200,CATALOGOS!$A$35:$A$42,0)),0))</f>
        <v>0</v>
      </c>
      <c r="T200" s="21">
        <f t="array" ref="T200">IF($J200="",0,IFERROR(INDEX(CATALOGOS!$B$47:$B$51,MATCH($J200,CATALOGOS!$A$47:$A$51,0)),0))</f>
        <v>0</v>
      </c>
      <c r="U200" s="21">
        <f t="array" ref="U200">IF($M200="",0,IFERROR(INDEX(CATALOGOS!$B$56:$B$62,MATCH($M200,CATALOGOS!$A$56:$A$62,0)),0))</f>
        <v>0</v>
      </c>
      <c r="V200" s="21" t="str">
        <f t="shared" si="2"/>
        <v/>
      </c>
      <c r="W200" s="21">
        <f t="array" ref="W200">IF($D200="",0,IFERROR(INDEX(CATALOGOS!$C$6:$C$14,MATCH($D200,CATALOGOS!$A$6:$A$14,0)),0))</f>
        <v>0</v>
      </c>
      <c r="X200" s="21">
        <f t="array" ref="X200">IF($D200="",0,IFERROR(INDEX(CATALOGOS!$D$6:$D$14,MATCH($D200,CATALOGOS!$A$6:$A$14,0)),0))</f>
        <v>0</v>
      </c>
      <c r="Y200" s="21">
        <f t="array" ref="Y200">IF($D200="",0,IFERROR(INDEX(CATALOGOS!$E$6:$E$14,MATCH($D200,CATALOGOS!$A$6:$A$14,0)),0))</f>
        <v>0</v>
      </c>
      <c r="Z200" s="26" t="str">
        <f t="shared" si="3"/>
        <v/>
      </c>
    </row>
    <row r="201" ht="15.0" customHeight="1">
      <c r="A201" s="18" t="str">
        <f t="shared" si="1"/>
        <v/>
      </c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21" t="str">
        <f t="array" ref="Q201">IF($D201="","",IFERROR(INDEX(CATALOGOS!$B$6:$B$14,MATCH($D201,CATALOGOS!$A$6:$A$14,0)),0))</f>
        <v/>
      </c>
      <c r="R201" s="21">
        <f t="array" ref="R201">IF($E201="",0,IFERROR(INDEX(CATALOGOS!$B$19:$B$30,MATCH($E201,CATALOGOS!$A$19:$A$30,0)),0))</f>
        <v>0</v>
      </c>
      <c r="S201" s="21">
        <f t="array" ref="S201">IF($K201="",0,IFERROR(INDEX(CATALOGOS!$B$35:$B$42,MATCH($K201,CATALOGOS!$A$35:$A$42,0)),0))</f>
        <v>0</v>
      </c>
      <c r="T201" s="21">
        <f t="array" ref="T201">IF($J201="",0,IFERROR(INDEX(CATALOGOS!$B$47:$B$51,MATCH($J201,CATALOGOS!$A$47:$A$51,0)),0))</f>
        <v>0</v>
      </c>
      <c r="U201" s="21">
        <f t="array" ref="U201">IF($M201="",0,IFERROR(INDEX(CATALOGOS!$B$56:$B$62,MATCH($M201,CATALOGOS!$A$56:$A$62,0)),0))</f>
        <v>0</v>
      </c>
      <c r="V201" s="21" t="str">
        <f t="shared" si="2"/>
        <v/>
      </c>
      <c r="W201" s="21">
        <f t="array" ref="W201">IF($D201="",0,IFERROR(INDEX(CATALOGOS!$C$6:$C$14,MATCH($D201,CATALOGOS!$A$6:$A$14,0)),0))</f>
        <v>0</v>
      </c>
      <c r="X201" s="21">
        <f t="array" ref="X201">IF($D201="",0,IFERROR(INDEX(CATALOGOS!$D$6:$D$14,MATCH($D201,CATALOGOS!$A$6:$A$14,0)),0))</f>
        <v>0</v>
      </c>
      <c r="Y201" s="21">
        <f t="array" ref="Y201">IF($D201="",0,IFERROR(INDEX(CATALOGOS!$E$6:$E$14,MATCH($D201,CATALOGOS!$A$6:$A$14,0)),0))</f>
        <v>0</v>
      </c>
      <c r="Z201" s="26" t="str">
        <f t="shared" si="3"/>
        <v/>
      </c>
    </row>
    <row r="202" ht="15.0" customHeight="1">
      <c r="A202" s="18" t="str">
        <f t="shared" si="1"/>
        <v/>
      </c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21" t="str">
        <f t="array" ref="Q202">IF($D202="","",IFERROR(INDEX(CATALOGOS!$B$6:$B$14,MATCH($D202,CATALOGOS!$A$6:$A$14,0)),0))</f>
        <v/>
      </c>
      <c r="R202" s="21">
        <f t="array" ref="R202">IF($E202="",0,IFERROR(INDEX(CATALOGOS!$B$19:$B$30,MATCH($E202,CATALOGOS!$A$19:$A$30,0)),0))</f>
        <v>0</v>
      </c>
      <c r="S202" s="21">
        <f t="array" ref="S202">IF($K202="",0,IFERROR(INDEX(CATALOGOS!$B$35:$B$42,MATCH($K202,CATALOGOS!$A$35:$A$42,0)),0))</f>
        <v>0</v>
      </c>
      <c r="T202" s="21">
        <f t="array" ref="T202">IF($J202="",0,IFERROR(INDEX(CATALOGOS!$B$47:$B$51,MATCH($J202,CATALOGOS!$A$47:$A$51,0)),0))</f>
        <v>0</v>
      </c>
      <c r="U202" s="21">
        <f t="array" ref="U202">IF($M202="",0,IFERROR(INDEX(CATALOGOS!$B$56:$B$62,MATCH($M202,CATALOGOS!$A$56:$A$62,0)),0))</f>
        <v>0</v>
      </c>
      <c r="V202" s="21" t="str">
        <f t="shared" si="2"/>
        <v/>
      </c>
      <c r="W202" s="21">
        <f t="array" ref="W202">IF($D202="",0,IFERROR(INDEX(CATALOGOS!$C$6:$C$14,MATCH($D202,CATALOGOS!$A$6:$A$14,0)),0))</f>
        <v>0</v>
      </c>
      <c r="X202" s="21">
        <f t="array" ref="X202">IF($D202="",0,IFERROR(INDEX(CATALOGOS!$D$6:$D$14,MATCH($D202,CATALOGOS!$A$6:$A$14,0)),0))</f>
        <v>0</v>
      </c>
      <c r="Y202" s="21">
        <f t="array" ref="Y202">IF($D202="",0,IFERROR(INDEX(CATALOGOS!$E$6:$E$14,MATCH($D202,CATALOGOS!$A$6:$A$14,0)),0))</f>
        <v>0</v>
      </c>
      <c r="Z202" s="26" t="str">
        <f t="shared" si="3"/>
        <v/>
      </c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Z1"/>
  </mergeCells>
  <dataValidations>
    <dataValidation type="list" allowBlank="1" sqref="H3:H202">
      <formula1>CATALOGOS!$A$67:$A$71</formula1>
    </dataValidation>
    <dataValidation type="list" allowBlank="1" sqref="D3:D202">
      <formula1>CATALOGOS!$A$6:$A$14</formula1>
    </dataValidation>
    <dataValidation type="list" allowBlank="1" sqref="O3:O202">
      <formula1>CATALOGOS!$C$67:$C$69</formula1>
    </dataValidation>
    <dataValidation type="list" allowBlank="1" sqref="K3:K202">
      <formula1>CATALOGOS!$A$35:$A$42</formula1>
    </dataValidation>
    <dataValidation type="list" allowBlank="1" sqref="E3:E202">
      <formula1>CATALOGOS!$A$19:$A$30</formula1>
    </dataValidation>
    <dataValidation type="list" allowBlank="1" sqref="I3:I202">
      <formula1>CATALOGOS!$B$67:$B$69</formula1>
    </dataValidation>
    <dataValidation type="list" allowBlank="1" sqref="J3:J202">
      <formula1>CATALOGOS!$A$47:$A$51</formula1>
    </dataValidation>
    <dataValidation type="list" allowBlank="1" sqref="L3:L202 N3:N202">
      <formula1>CATALOGOS!$D$67:$D$68</formula1>
    </dataValidation>
    <dataValidation type="list" allowBlank="1" sqref="M3:M202">
      <formula1>CATALOGOS!$A$56:$A$62</formula1>
    </dataValidation>
    <dataValidation type="list" allowBlank="1" sqref="G3:G202">
      <formula1>PEDIDO!$A$23:$A$28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4.0"/>
    <col customWidth="1" min="2" max="2" width="26.0"/>
    <col customWidth="1" min="3" max="3" width="22.0"/>
    <col customWidth="1" min="4" max="5" width="12.0"/>
    <col customWidth="1" min="6" max="7" width="14.0"/>
    <col customWidth="1" min="8" max="26" width="8.71"/>
  </cols>
  <sheetData>
    <row r="1">
      <c r="A1" s="4"/>
      <c r="B1" s="4"/>
      <c r="C1" s="4"/>
      <c r="D1" s="4"/>
      <c r="E1" s="4"/>
      <c r="F1" s="4"/>
      <c r="G1" s="4"/>
      <c r="H1" s="4"/>
    </row>
    <row r="2" ht="15.0" customHeight="1">
      <c r="A2" s="4"/>
      <c r="B2" s="32" t="s">
        <v>288</v>
      </c>
      <c r="C2" s="33"/>
      <c r="D2" s="34" t="s">
        <v>289</v>
      </c>
      <c r="E2" s="4"/>
      <c r="F2" s="4"/>
      <c r="G2" s="4"/>
      <c r="H2" s="4"/>
    </row>
    <row r="3" ht="15.0" customHeight="1">
      <c r="A3" s="4"/>
      <c r="B3" s="35"/>
      <c r="C3" s="36"/>
      <c r="D3" s="15" t="s">
        <v>290</v>
      </c>
      <c r="E3" s="4"/>
      <c r="F3" s="4"/>
      <c r="G3" s="26" t="s">
        <v>291</v>
      </c>
      <c r="H3" s="4"/>
    </row>
    <row r="4" ht="15.0" customHeight="1">
      <c r="A4" s="4"/>
      <c r="B4" s="35"/>
      <c r="C4" s="36"/>
      <c r="D4" s="15" t="s">
        <v>292</v>
      </c>
      <c r="E4" s="4"/>
      <c r="F4" s="4"/>
      <c r="G4" s="4"/>
      <c r="H4" s="4"/>
    </row>
    <row r="5" ht="15.0" customHeight="1">
      <c r="A5" s="4"/>
      <c r="B5" s="35"/>
      <c r="C5" s="36"/>
      <c r="D5" s="15" t="s">
        <v>293</v>
      </c>
      <c r="E5" s="4"/>
      <c r="F5" s="4"/>
      <c r="G5" s="4"/>
      <c r="H5" s="4"/>
    </row>
    <row r="6" ht="15.0" customHeight="1">
      <c r="A6" s="4"/>
      <c r="B6" s="35"/>
      <c r="C6" s="36"/>
      <c r="D6" s="5" t="s">
        <v>294</v>
      </c>
      <c r="E6" s="4"/>
      <c r="F6" s="4"/>
      <c r="G6" s="4"/>
      <c r="H6" s="4"/>
    </row>
    <row r="7" ht="15.0" customHeight="1">
      <c r="A7" s="4"/>
      <c r="B7" s="37"/>
      <c r="C7" s="38"/>
      <c r="D7" s="4"/>
      <c r="E7" s="4"/>
      <c r="F7" s="4"/>
      <c r="G7" s="4"/>
      <c r="H7" s="4"/>
    </row>
    <row r="8">
      <c r="A8" s="4"/>
      <c r="B8" s="4"/>
      <c r="C8" s="4"/>
      <c r="D8" s="4"/>
      <c r="E8" s="4"/>
      <c r="F8" s="4"/>
      <c r="G8" s="4"/>
      <c r="H8" s="4"/>
    </row>
    <row r="9" ht="25.5" customHeight="1">
      <c r="A9" s="4"/>
      <c r="B9" s="1" t="s">
        <v>295</v>
      </c>
      <c r="C9" s="2"/>
      <c r="D9" s="2"/>
      <c r="E9" s="2"/>
      <c r="F9" s="2"/>
      <c r="G9" s="3"/>
      <c r="H9" s="4"/>
    </row>
    <row r="10" ht="15.0" customHeight="1">
      <c r="A10" s="4"/>
      <c r="B10" s="6" t="s">
        <v>45</v>
      </c>
      <c r="C10" s="39" t="str">
        <f>IF(PEDIDO!$B$5="","—",PEDIDO!$B$5)</f>
        <v>SUB-000842</v>
      </c>
      <c r="D10" s="4"/>
      <c r="E10" s="6" t="s">
        <v>68</v>
      </c>
      <c r="F10" s="39" t="str">
        <f>IF(PEDIDO!$F$5="","—",PEDIDO!$F$5)</f>
        <v>2026-08-07</v>
      </c>
      <c r="G10" s="4"/>
      <c r="H10" s="4"/>
    </row>
    <row r="11" ht="15.0" customHeight="1">
      <c r="A11" s="4"/>
      <c r="B11" s="6" t="s">
        <v>297</v>
      </c>
      <c r="C11" s="39" t="str">
        <f>IF(PEDIDO!$B$7="","—",PEDIDO!$B$7)</f>
        <v>PROMO 2002</v>
      </c>
      <c r="D11" s="4"/>
      <c r="E11" s="6" t="s">
        <v>298</v>
      </c>
      <c r="F11" s="39" t="str">
        <f>IF(PEDIDO!$F$7="","—",PEDIDO!$F$7)</f>
        <v>—</v>
      </c>
      <c r="G11" s="4"/>
      <c r="H11" s="4"/>
    </row>
    <row r="12" ht="15.0" customHeight="1">
      <c r="A12" s="4"/>
      <c r="B12" s="6" t="s">
        <v>299</v>
      </c>
      <c r="C12" s="39" t="str">
        <f>IF(PEDIDO!$B$8="","—",PEDIDO!$B$8)</f>
        <v>Coordinador de la promoción</v>
      </c>
      <c r="D12" s="4"/>
      <c r="E12" s="6" t="s">
        <v>96</v>
      </c>
      <c r="F12" s="39" t="str">
        <f>IF(PEDIDO!$F$8="","—",PEDIDO!$F$8)</f>
        <v>+51 966 826 524</v>
      </c>
      <c r="G12" s="4"/>
      <c r="H12" s="4"/>
    </row>
    <row r="13" ht="15.0" customHeight="1">
      <c r="A13" s="4"/>
      <c r="B13" s="6" t="s">
        <v>101</v>
      </c>
      <c r="C13" s="39" t="str">
        <f>IF(PEDIDO!$B$9="","—",PEDIDO!$B$9)</f>
        <v>—</v>
      </c>
      <c r="D13" s="4"/>
      <c r="E13" s="6" t="s">
        <v>300</v>
      </c>
      <c r="F13" s="39" t="str">
        <f>IF(PEDIDO!$F$9="","—",PEDIDO!$F$9)</f>
        <v>2026-08-18</v>
      </c>
      <c r="G13" s="4"/>
      <c r="H13" s="4"/>
    </row>
    <row r="14">
      <c r="A14" s="4"/>
      <c r="B14" s="4"/>
      <c r="C14" s="4"/>
      <c r="D14" s="4"/>
      <c r="E14" s="4"/>
      <c r="F14" s="4"/>
      <c r="G14" s="4"/>
      <c r="H14" s="4"/>
    </row>
    <row r="15" ht="19.5" customHeight="1">
      <c r="A15" s="4"/>
      <c r="B15" s="9" t="s">
        <v>301</v>
      </c>
      <c r="C15" s="2"/>
      <c r="D15" s="2"/>
      <c r="E15" s="2"/>
      <c r="F15" s="2"/>
      <c r="G15" s="3"/>
      <c r="H15" s="4"/>
    </row>
    <row r="16" ht="16.5" customHeight="1">
      <c r="A16" s="4"/>
      <c r="B16" s="40" t="s">
        <v>302</v>
      </c>
      <c r="C16" s="41"/>
      <c r="D16" s="41"/>
      <c r="E16" s="41"/>
      <c r="F16" s="41"/>
      <c r="G16" s="42"/>
      <c r="H16" s="4"/>
    </row>
    <row r="17" ht="16.5" customHeight="1">
      <c r="A17" s="4"/>
      <c r="B17" s="43"/>
      <c r="G17" s="44"/>
      <c r="H17" s="4"/>
    </row>
    <row r="18" ht="16.5" customHeight="1">
      <c r="A18" s="4"/>
      <c r="B18" s="43"/>
      <c r="G18" s="44"/>
      <c r="H18" s="4"/>
    </row>
    <row r="19" ht="16.5" customHeight="1">
      <c r="A19" s="4"/>
      <c r="B19" s="43"/>
      <c r="G19" s="44"/>
      <c r="H19" s="4"/>
    </row>
    <row r="20" ht="16.5" customHeight="1">
      <c r="A20" s="4"/>
      <c r="B20" s="43"/>
      <c r="G20" s="44"/>
      <c r="H20" s="4"/>
    </row>
    <row r="21" ht="16.5" customHeight="1">
      <c r="A21" s="4"/>
      <c r="B21" s="43"/>
      <c r="G21" s="44"/>
      <c r="H21" s="4"/>
    </row>
    <row r="22" ht="16.5" customHeight="1">
      <c r="A22" s="4"/>
      <c r="B22" s="43"/>
      <c r="G22" s="44"/>
      <c r="H22" s="4"/>
    </row>
    <row r="23" ht="16.5" customHeight="1">
      <c r="A23" s="4"/>
      <c r="B23" s="43"/>
      <c r="G23" s="44"/>
      <c r="H23" s="4"/>
    </row>
    <row r="24" ht="16.5" customHeight="1">
      <c r="A24" s="4"/>
      <c r="B24" s="43"/>
      <c r="G24" s="44"/>
      <c r="H24" s="4"/>
    </row>
    <row r="25" ht="16.5" customHeight="1">
      <c r="A25" s="4"/>
      <c r="B25" s="43"/>
      <c r="G25" s="44"/>
      <c r="H25" s="4"/>
    </row>
    <row r="26" ht="16.5" customHeight="1">
      <c r="A26" s="4"/>
      <c r="B26" s="43"/>
      <c r="G26" s="44"/>
      <c r="H26" s="4"/>
    </row>
    <row r="27" ht="16.5" customHeight="1">
      <c r="A27" s="4"/>
      <c r="B27" s="43"/>
      <c r="G27" s="44"/>
      <c r="H27" s="4"/>
    </row>
    <row r="28" ht="16.5" customHeight="1">
      <c r="A28" s="4"/>
      <c r="B28" s="43"/>
      <c r="G28" s="44"/>
      <c r="H28" s="4"/>
    </row>
    <row r="29" ht="16.5" customHeight="1">
      <c r="A29" s="4"/>
      <c r="B29" s="45"/>
      <c r="C29" s="46"/>
      <c r="D29" s="46"/>
      <c r="E29" s="46"/>
      <c r="F29" s="46"/>
      <c r="G29" s="47"/>
      <c r="H29" s="4"/>
    </row>
    <row r="30" ht="15.0" customHeight="1">
      <c r="A30" s="4"/>
      <c r="B30" s="6" t="s">
        <v>142</v>
      </c>
      <c r="C30" s="39" t="str">
        <f>IF(PEDIDO!$B$13="","—",PEDIDO!$B$13)</f>
        <v>v4</v>
      </c>
      <c r="D30" s="4"/>
      <c r="E30" s="6" t="s">
        <v>304</v>
      </c>
      <c r="F30" s="39" t="str">
        <f>IF(PEDIDO!$F$13="","—",PEDIDO!$F$13)</f>
        <v>2026-08-07</v>
      </c>
      <c r="G30" s="4"/>
      <c r="H30" s="4"/>
    </row>
    <row r="31" ht="15.75" customHeight="1">
      <c r="A31" s="4"/>
      <c r="B31" s="4"/>
      <c r="C31" s="4"/>
      <c r="D31" s="4"/>
      <c r="E31" s="4"/>
      <c r="F31" s="4"/>
      <c r="G31" s="4"/>
      <c r="H31" s="4"/>
    </row>
    <row r="32" ht="19.5" customHeight="1">
      <c r="A32" s="4"/>
      <c r="B32" s="9" t="s">
        <v>305</v>
      </c>
      <c r="C32" s="2"/>
      <c r="D32" s="2"/>
      <c r="E32" s="2"/>
      <c r="F32" s="2"/>
      <c r="G32" s="3"/>
      <c r="H32" s="4"/>
    </row>
    <row r="33" ht="15.0" customHeight="1">
      <c r="A33" s="4"/>
      <c r="B33" s="25" t="s">
        <v>307</v>
      </c>
      <c r="C33" s="25" t="s">
        <v>308</v>
      </c>
      <c r="D33" s="25" t="s">
        <v>309</v>
      </c>
      <c r="E33" s="25" t="s">
        <v>310</v>
      </c>
      <c r="F33" s="25" t="s">
        <v>311</v>
      </c>
      <c r="G33" s="25"/>
      <c r="H33" s="4"/>
    </row>
    <row r="34" ht="15.0" customHeight="1">
      <c r="A34" s="4"/>
      <c r="B34" s="21" t="str">
        <f>IF(E34=0,"",CATALOGOS!$A$6)</f>
        <v>Camiseta sola</v>
      </c>
      <c r="C34" s="21" t="str">
        <f t="shared" ref="C34:C42" si="1">IF(E34=0,"","Sublimado — diseño aprobado")</f>
        <v>Sublimado — diseño aprobado</v>
      </c>
      <c r="D34" s="30">
        <f>COUNTIFS(PRENDAS!$D$3:$D$202,CATALOGOS!$A$6,PRENDAS!$O$3:$O$202,"Venta")</f>
        <v>11</v>
      </c>
      <c r="E34" s="21">
        <f>IF(D34=0,0,CATALOGOS!$B$6)</f>
        <v>25</v>
      </c>
      <c r="F34" s="21">
        <f>IF(D34=0,"",SUMIFS(PRENDAS!$Q$3:$Q$202,PRENDAS!$D$3:$D$202,CATALOGOS!$A$6,PRENDAS!$O$3:$O$202,"Venta"))</f>
        <v>275</v>
      </c>
      <c r="G34" s="48"/>
      <c r="H34" s="4"/>
    </row>
    <row r="35" ht="15.0" customHeight="1">
      <c r="A35" s="4"/>
      <c r="B35" s="21" t="str">
        <f>IF(E35=0,"",CATALOGOS!$A$7)</f>
        <v/>
      </c>
      <c r="C35" s="21" t="str">
        <f t="shared" si="1"/>
        <v/>
      </c>
      <c r="D35" s="30">
        <f>COUNTIFS(PRENDAS!$D$3:$D$202,CATALOGOS!$A$7,PRENDAS!$O$3:$O$202,"Venta")</f>
        <v>0</v>
      </c>
      <c r="E35" s="21">
        <f>IF(D35=0,0,CATALOGOS!$B$7)</f>
        <v>0</v>
      </c>
      <c r="F35" s="21" t="str">
        <f>IF(D35=0,"",SUMIFS(PRENDAS!$Q$3:$Q$202,PRENDAS!$D$3:$D$202,CATALOGOS!$A$7,PRENDAS!$O$3:$O$202,"Venta"))</f>
        <v/>
      </c>
      <c r="G35" s="48"/>
      <c r="H35" s="4"/>
    </row>
    <row r="36" ht="15.0" customHeight="1">
      <c r="A36" s="4"/>
      <c r="B36" s="21" t="str">
        <f>IF(E36=0,"",CATALOGOS!$A$8)</f>
        <v>Kit completo</v>
      </c>
      <c r="C36" s="21" t="str">
        <f t="shared" si="1"/>
        <v>Sublimado — diseño aprobado</v>
      </c>
      <c r="D36" s="30">
        <f>COUNTIFS(PRENDAS!$D$3:$D$202,CATALOGOS!$A$8,PRENDAS!$O$3:$O$202,"Venta")</f>
        <v>17</v>
      </c>
      <c r="E36" s="21">
        <f>IF(D36=0,0,CATALOGOS!$B$8)</f>
        <v>45</v>
      </c>
      <c r="F36" s="21">
        <f>IF(D36=0,"",SUMIFS(PRENDAS!$Q$3:$Q$202,PRENDAS!$D$3:$D$202,CATALOGOS!$A$8,PRENDAS!$O$3:$O$202,"Venta"))</f>
        <v>765</v>
      </c>
      <c r="G36" s="48"/>
      <c r="H36" s="4"/>
    </row>
    <row r="37" ht="15.0" customHeight="1">
      <c r="A37" s="4"/>
      <c r="B37" s="21" t="str">
        <f>IF(E37=0,"",CATALOGOS!$A$9)</f>
        <v/>
      </c>
      <c r="C37" s="21" t="str">
        <f t="shared" si="1"/>
        <v/>
      </c>
      <c r="D37" s="30">
        <f>COUNTIFS(PRENDAS!$D$3:$D$202,CATALOGOS!$A$9,PRENDAS!$O$3:$O$202,"Venta")</f>
        <v>0</v>
      </c>
      <c r="E37" s="21">
        <f>IF(D37=0,0,CATALOGOS!$B$9)</f>
        <v>0</v>
      </c>
      <c r="F37" s="21" t="str">
        <f>IF(D37=0,"",SUMIFS(PRENDAS!$Q$3:$Q$202,PRENDAS!$D$3:$D$202,CATALOGOS!$A$9,PRENDAS!$O$3:$O$202,"Venta"))</f>
        <v/>
      </c>
      <c r="G37" s="48"/>
      <c r="H37" s="4"/>
    </row>
    <row r="38" ht="15.0" customHeight="1">
      <c r="A38" s="4"/>
      <c r="B38" s="21" t="str">
        <f>IF(E38=0,"",CATALOGOS!$A$10)</f>
        <v/>
      </c>
      <c r="C38" s="21" t="str">
        <f t="shared" si="1"/>
        <v/>
      </c>
      <c r="D38" s="30">
        <f>COUNTIFS(PRENDAS!$D$3:$D$202,CATALOGOS!$A$10,PRENDAS!$O$3:$O$202,"Venta")</f>
        <v>0</v>
      </c>
      <c r="E38" s="21">
        <f>IF(D38=0,0,CATALOGOS!$B$10)</f>
        <v>0</v>
      </c>
      <c r="F38" s="21" t="str">
        <f>IF(D38=0,"",SUMIFS(PRENDAS!$Q$3:$Q$202,PRENDAS!$D$3:$D$202,CATALOGOS!$A$10,PRENDAS!$O$3:$O$202,"Venta"))</f>
        <v/>
      </c>
      <c r="G38" s="48"/>
      <c r="H38" s="4"/>
    </row>
    <row r="39" ht="15.0" customHeight="1">
      <c r="A39" s="4"/>
      <c r="B39" s="21" t="str">
        <f>IF(E39=0,"",CATALOGOS!$A$11)</f>
        <v/>
      </c>
      <c r="C39" s="21" t="str">
        <f t="shared" si="1"/>
        <v/>
      </c>
      <c r="D39" s="30">
        <f>COUNTIFS(PRENDAS!$D$3:$D$202,CATALOGOS!$A$11,PRENDAS!$O$3:$O$202,"Venta")</f>
        <v>0</v>
      </c>
      <c r="E39" s="21">
        <f>IF(D39=0,0,CATALOGOS!$B$11)</f>
        <v>0</v>
      </c>
      <c r="F39" s="21" t="str">
        <f>IF(D39=0,"",SUMIFS(PRENDAS!$Q$3:$Q$202,PRENDAS!$D$3:$D$202,CATALOGOS!$A$11,PRENDAS!$O$3:$O$202,"Venta"))</f>
        <v/>
      </c>
      <c r="G39" s="48"/>
      <c r="H39" s="4"/>
    </row>
    <row r="40" ht="15.0" customHeight="1">
      <c r="A40" s="4"/>
      <c r="B40" s="21" t="str">
        <f>IF(E40=0,"",CATALOGOS!$A$12)</f>
        <v/>
      </c>
      <c r="C40" s="21" t="str">
        <f t="shared" si="1"/>
        <v/>
      </c>
      <c r="D40" s="30">
        <f>COUNTIFS(PRENDAS!$D$3:$D$202,CATALOGOS!$A$12,PRENDAS!$O$3:$O$202,"Venta")</f>
        <v>0</v>
      </c>
      <c r="E40" s="21">
        <f>IF(D40=0,0,CATALOGOS!$B$12)</f>
        <v>0</v>
      </c>
      <c r="F40" s="21" t="str">
        <f>IF(D40=0,"",SUMIFS(PRENDAS!$Q$3:$Q$202,PRENDAS!$D$3:$D$202,CATALOGOS!$A$12,PRENDAS!$O$3:$O$202,"Venta"))</f>
        <v/>
      </c>
      <c r="G40" s="48"/>
      <c r="H40" s="4"/>
    </row>
    <row r="41" ht="15.0" customHeight="1">
      <c r="A41" s="4"/>
      <c r="B41" s="21" t="str">
        <f>IF(E41=0,"",CATALOGOS!$A$13)</f>
        <v/>
      </c>
      <c r="C41" s="21" t="str">
        <f t="shared" si="1"/>
        <v/>
      </c>
      <c r="D41" s="30">
        <f>COUNTIFS(PRENDAS!$D$3:$D$202,CATALOGOS!$A$13,PRENDAS!$O$3:$O$202,"Venta")</f>
        <v>0</v>
      </c>
      <c r="E41" s="21">
        <f>IF(D41=0,0,CATALOGOS!$B$13)</f>
        <v>0</v>
      </c>
      <c r="F41" s="21" t="str">
        <f>IF(D41=0,"",SUMIFS(PRENDAS!$Q$3:$Q$202,PRENDAS!$D$3:$D$202,CATALOGOS!$A$13,PRENDAS!$O$3:$O$202,"Venta"))</f>
        <v/>
      </c>
      <c r="G41" s="48"/>
      <c r="H41" s="4"/>
    </row>
    <row r="42" ht="15.0" customHeight="1">
      <c r="A42" s="4"/>
      <c r="B42" s="21" t="str">
        <f>IF(E42=0,"",CATALOGOS!$A$14)</f>
        <v/>
      </c>
      <c r="C42" s="21" t="str">
        <f t="shared" si="1"/>
        <v/>
      </c>
      <c r="D42" s="30">
        <f>COUNTIFS(PRENDAS!$D$3:$D$202,CATALOGOS!$A$14,PRENDAS!$O$3:$O$202,"Venta")</f>
        <v>0</v>
      </c>
      <c r="E42" s="21">
        <f>IF(D42=0,0,CATALOGOS!$B$14)</f>
        <v>0</v>
      </c>
      <c r="F42" s="21" t="str">
        <f>IF(D42=0,"",SUMIFS(PRENDAS!$Q$3:$Q$202,PRENDAS!$D$3:$D$202,CATALOGOS!$A$14,PRENDAS!$O$3:$O$202,"Venta"))</f>
        <v/>
      </c>
      <c r="G42" s="48"/>
      <c r="H42" s="4"/>
    </row>
    <row r="43" ht="15.0" customHeight="1">
      <c r="A43" s="4"/>
      <c r="B43" s="10" t="s">
        <v>331</v>
      </c>
      <c r="C43" s="48"/>
      <c r="D43" s="48"/>
      <c r="E43" s="48"/>
      <c r="F43" s="21">
        <f>SUMIFS(PRENDAS!$R$3:$R$202,PRENDAS!$O$3:$O$202,"Venta")</f>
        <v>9</v>
      </c>
      <c r="G43" s="48"/>
      <c r="H43" s="4"/>
    </row>
    <row r="44" ht="15.0" customHeight="1">
      <c r="A44" s="4"/>
      <c r="B44" s="10" t="s">
        <v>332</v>
      </c>
      <c r="C44" s="48"/>
      <c r="D44" s="48"/>
      <c r="E44" s="48"/>
      <c r="F44" s="21">
        <f>SUMIFS(PRENDAS!$S$3:$S$202,PRENDAS!$O$3:$O$202,"Venta")</f>
        <v>0</v>
      </c>
      <c r="G44" s="48"/>
      <c r="H44" s="4"/>
    </row>
    <row r="45" ht="15.0" customHeight="1">
      <c r="A45" s="4"/>
      <c r="B45" s="10" t="s">
        <v>333</v>
      </c>
      <c r="C45" s="48"/>
      <c r="D45" s="48"/>
      <c r="E45" s="48"/>
      <c r="F45" s="21">
        <f>SUMIFS(PRENDAS!$T$3:$T$202,PRENDAS!$O$3:$O$202,"Venta")</f>
        <v>0</v>
      </c>
      <c r="G45" s="48"/>
      <c r="H45" s="4"/>
    </row>
    <row r="46" ht="15.0" customHeight="1">
      <c r="A46" s="4"/>
      <c r="B46" s="10" t="s">
        <v>334</v>
      </c>
      <c r="C46" s="48"/>
      <c r="D46" s="48"/>
      <c r="E46" s="48"/>
      <c r="F46" s="21">
        <f>SUMIFS(PRENDAS!$U$3:$U$202,PRENDAS!$O$3:$O$202,"Venta")</f>
        <v>0</v>
      </c>
      <c r="G46" s="48"/>
      <c r="H46" s="4"/>
    </row>
    <row r="47" ht="15.0" customHeight="1">
      <c r="A47" s="4"/>
      <c r="B47" s="10" t="s">
        <v>335</v>
      </c>
      <c r="C47" s="48"/>
      <c r="D47" s="30">
        <f>COUNTIFS(PRENDAS!$O$3:$O$202,"Obsequio")+COUNTIFS(PRENDAS!$O$3:$O$202,"Muestra")</f>
        <v>0</v>
      </c>
      <c r="E47" s="48"/>
      <c r="F47" s="21">
        <v>0.0</v>
      </c>
      <c r="G47" s="48"/>
      <c r="H47" s="4"/>
    </row>
    <row r="48" ht="15.75" customHeight="1">
      <c r="A48" s="4"/>
      <c r="B48" s="4"/>
      <c r="C48" s="4"/>
      <c r="D48" s="4"/>
      <c r="E48" s="4"/>
      <c r="F48" s="4"/>
      <c r="G48" s="4"/>
      <c r="H48" s="4"/>
    </row>
    <row r="49" ht="15.0" customHeight="1">
      <c r="A49" s="4"/>
      <c r="B49" s="4"/>
      <c r="C49" s="4"/>
      <c r="D49" s="4"/>
      <c r="E49" s="34" t="s">
        <v>336</v>
      </c>
      <c r="F49" s="49">
        <f>SUM(F34:F46)</f>
        <v>1049</v>
      </c>
      <c r="G49" s="4"/>
      <c r="H49" s="4"/>
    </row>
    <row r="50" ht="15.0" customHeight="1">
      <c r="A50" s="4"/>
      <c r="B50" s="4"/>
      <c r="C50" s="4"/>
      <c r="D50" s="4"/>
      <c r="E50" s="5" t="s">
        <v>337</v>
      </c>
      <c r="F50" s="4"/>
      <c r="G50" s="4"/>
      <c r="H50" s="4"/>
    </row>
    <row r="51" ht="15.75" customHeight="1">
      <c r="A51" s="4"/>
      <c r="B51" s="4"/>
      <c r="C51" s="4"/>
      <c r="D51" s="4"/>
      <c r="E51" s="4"/>
      <c r="F51" s="4"/>
      <c r="G51" s="4"/>
      <c r="H51" s="4"/>
    </row>
    <row r="52" ht="19.5" customHeight="1">
      <c r="A52" s="4"/>
      <c r="B52" s="9" t="s">
        <v>338</v>
      </c>
      <c r="C52" s="2"/>
      <c r="D52" s="2"/>
      <c r="E52" s="2"/>
      <c r="F52" s="2"/>
      <c r="G52" s="3"/>
      <c r="H52" s="4"/>
    </row>
    <row r="53" ht="15.0" customHeight="1">
      <c r="A53" s="4"/>
      <c r="B53" s="6" t="s">
        <v>339</v>
      </c>
      <c r="C53" s="4"/>
      <c r="D53" s="4"/>
      <c r="E53" s="4"/>
      <c r="F53" s="21">
        <f>ROUND(F49*CATALOGOS!$B$76,2)</f>
        <v>524.5</v>
      </c>
      <c r="G53" s="4"/>
      <c r="H53" s="4"/>
    </row>
    <row r="54" ht="15.0" customHeight="1">
      <c r="A54" s="4"/>
      <c r="B54" s="6" t="s">
        <v>341</v>
      </c>
      <c r="C54" s="4"/>
      <c r="D54" s="4"/>
      <c r="E54" s="4"/>
      <c r="F54" s="19">
        <v>0.0</v>
      </c>
      <c r="G54" s="4"/>
      <c r="H54" s="4"/>
    </row>
    <row r="55" ht="15.0" customHeight="1">
      <c r="A55" s="4"/>
      <c r="B55" s="34" t="s">
        <v>342</v>
      </c>
      <c r="C55" s="4"/>
      <c r="D55" s="4"/>
      <c r="E55" s="4"/>
      <c r="F55" s="49">
        <f>F49-F54</f>
        <v>1049</v>
      </c>
      <c r="G55" s="4"/>
      <c r="H55" s="4"/>
    </row>
    <row r="56" ht="15.75" customHeight="1">
      <c r="A56" s="4"/>
      <c r="B56" s="4"/>
      <c r="C56" s="4"/>
      <c r="D56" s="4"/>
      <c r="E56" s="4"/>
      <c r="F56" s="4"/>
      <c r="G56" s="4"/>
      <c r="H56" s="4"/>
    </row>
    <row r="57" ht="19.5" customHeight="1">
      <c r="A57" s="4"/>
      <c r="B57" s="9" t="s">
        <v>343</v>
      </c>
      <c r="C57" s="2"/>
      <c r="D57" s="2"/>
      <c r="E57" s="2"/>
      <c r="F57" s="2"/>
      <c r="G57" s="3"/>
      <c r="H57" s="4"/>
    </row>
    <row r="58" ht="24.0" customHeight="1">
      <c r="A58" s="4"/>
      <c r="B58" s="7" t="s">
        <v>344</v>
      </c>
      <c r="H58" s="4"/>
    </row>
    <row r="59" ht="24.0" customHeight="1">
      <c r="A59" s="4"/>
      <c r="B59" s="7" t="s">
        <v>345</v>
      </c>
      <c r="H59" s="4"/>
    </row>
    <row r="60" ht="24.0" customHeight="1">
      <c r="A60" s="4"/>
      <c r="B60" s="7" t="s">
        <v>346</v>
      </c>
      <c r="H60" s="4"/>
    </row>
    <row r="61" ht="24.0" customHeight="1">
      <c r="A61" s="4"/>
      <c r="B61" s="7" t="s">
        <v>347</v>
      </c>
      <c r="H61" s="4"/>
    </row>
    <row r="62" ht="24.0" customHeight="1">
      <c r="A62" s="4"/>
      <c r="B62" s="7" t="s">
        <v>348</v>
      </c>
      <c r="H62" s="4"/>
    </row>
    <row r="63" ht="15.75" customHeight="1">
      <c r="A63" s="4"/>
      <c r="B63" s="4"/>
      <c r="C63" s="4"/>
      <c r="D63" s="4"/>
      <c r="E63" s="4"/>
      <c r="F63" s="4"/>
      <c r="G63" s="4"/>
      <c r="H63" s="4"/>
    </row>
    <row r="64" ht="19.5" customHeight="1">
      <c r="A64" s="4"/>
      <c r="B64" s="9" t="s">
        <v>349</v>
      </c>
      <c r="C64" s="2"/>
      <c r="D64" s="2"/>
      <c r="E64" s="2"/>
      <c r="F64" s="2"/>
      <c r="G64" s="3"/>
      <c r="H64" s="4"/>
    </row>
    <row r="65" ht="15.0" customHeight="1">
      <c r="A65" s="4"/>
      <c r="B65" s="6" t="s">
        <v>350</v>
      </c>
      <c r="C65" s="15" t="s">
        <v>351</v>
      </c>
      <c r="H65" s="4"/>
    </row>
    <row r="66" ht="15.0" customHeight="1">
      <c r="A66" s="4"/>
      <c r="B66" s="6" t="s">
        <v>352</v>
      </c>
      <c r="C66" s="15" t="s">
        <v>353</v>
      </c>
      <c r="H66" s="4"/>
    </row>
    <row r="67" ht="15.0" customHeight="1">
      <c r="A67" s="4"/>
      <c r="B67" s="6" t="s">
        <v>354</v>
      </c>
      <c r="C67" s="15" t="s">
        <v>355</v>
      </c>
      <c r="H67" s="4"/>
    </row>
    <row r="68" ht="15.75" customHeight="1">
      <c r="A68" s="4"/>
      <c r="B68" s="4"/>
      <c r="C68" s="4"/>
      <c r="D68" s="4"/>
      <c r="E68" s="4"/>
      <c r="F68" s="4"/>
      <c r="G68" s="4"/>
      <c r="H68" s="4"/>
    </row>
    <row r="69" ht="15.75" customHeight="1">
      <c r="A69" s="4"/>
      <c r="B69" s="4"/>
      <c r="C69" s="4"/>
      <c r="D69" s="4"/>
      <c r="E69" s="4"/>
      <c r="F69" s="4"/>
      <c r="G69" s="4"/>
      <c r="H69" s="4"/>
    </row>
    <row r="70" ht="15.0" customHeight="1">
      <c r="A70" s="4"/>
      <c r="B70" s="6" t="s">
        <v>356</v>
      </c>
      <c r="C70" s="4"/>
      <c r="D70" s="4"/>
      <c r="E70" s="4"/>
      <c r="F70" s="4"/>
      <c r="G70" s="4"/>
      <c r="H70" s="4"/>
    </row>
    <row r="71" ht="15.75" customHeight="1">
      <c r="A71" s="4"/>
      <c r="B71" s="4"/>
      <c r="C71" s="4"/>
      <c r="D71" s="4"/>
      <c r="E71" s="4"/>
      <c r="F71" s="4"/>
      <c r="G71" s="4"/>
      <c r="H71" s="4"/>
    </row>
    <row r="72" ht="15.0" customHeight="1">
      <c r="A72" s="4"/>
      <c r="B72" s="15" t="s">
        <v>357</v>
      </c>
      <c r="E72" s="4"/>
      <c r="F72" s="4"/>
      <c r="G72" s="4"/>
      <c r="H72" s="4"/>
    </row>
    <row r="73" ht="15.0" customHeight="1">
      <c r="A73" s="4"/>
      <c r="B73" s="5" t="s">
        <v>358</v>
      </c>
      <c r="C73" s="4"/>
      <c r="D73" s="4"/>
      <c r="E73" s="4"/>
      <c r="F73" s="4"/>
      <c r="G73" s="4"/>
      <c r="H73" s="4"/>
    </row>
    <row r="74" ht="15.75" customHeight="1">
      <c r="A74" s="4"/>
      <c r="B74" s="4"/>
      <c r="C74" s="4"/>
      <c r="D74" s="4"/>
      <c r="E74" s="4"/>
      <c r="F74" s="4"/>
      <c r="G74" s="4"/>
      <c r="H74" s="4"/>
    </row>
    <row r="75" ht="15.75" customHeight="1">
      <c r="A75" s="4"/>
      <c r="B75" s="4"/>
      <c r="C75" s="4"/>
      <c r="D75" s="4"/>
      <c r="E75" s="4"/>
      <c r="F75" s="4"/>
      <c r="G75" s="4"/>
      <c r="H75" s="4"/>
    </row>
    <row r="76" ht="15.75" customHeight="1">
      <c r="A76" s="4"/>
      <c r="B76" s="4"/>
      <c r="C76" s="4"/>
      <c r="D76" s="4"/>
      <c r="E76" s="4"/>
      <c r="F76" s="4"/>
      <c r="G76" s="4"/>
      <c r="H76" s="4"/>
    </row>
    <row r="77" ht="15.75" customHeight="1">
      <c r="A77" s="4"/>
      <c r="B77" s="4"/>
      <c r="C77" s="4"/>
      <c r="D77" s="4"/>
      <c r="E77" s="4"/>
      <c r="F77" s="4"/>
      <c r="G77" s="4"/>
      <c r="H77" s="4"/>
    </row>
    <row r="78" ht="15.75" customHeight="1">
      <c r="A78" s="4"/>
      <c r="B78" s="4"/>
      <c r="C78" s="4"/>
      <c r="D78" s="4"/>
      <c r="E78" s="4"/>
      <c r="F78" s="4"/>
      <c r="G78" s="4"/>
      <c r="H78" s="4"/>
    </row>
    <row r="79" ht="15.75" customHeight="1">
      <c r="A79" s="4"/>
      <c r="B79" s="4"/>
      <c r="C79" s="4"/>
      <c r="D79" s="4"/>
      <c r="E79" s="4"/>
      <c r="F79" s="4"/>
      <c r="G79" s="4"/>
      <c r="H79" s="4"/>
    </row>
    <row r="80" ht="15.75" customHeight="1">
      <c r="A80" s="4"/>
      <c r="B80" s="4"/>
      <c r="C80" s="4"/>
      <c r="D80" s="4"/>
      <c r="E80" s="4"/>
      <c r="F80" s="4"/>
      <c r="G80" s="4"/>
      <c r="H80" s="4"/>
    </row>
    <row r="81" ht="15.75" customHeight="1">
      <c r="A81" s="4"/>
      <c r="B81" s="4"/>
      <c r="C81" s="4"/>
      <c r="D81" s="4"/>
      <c r="E81" s="4"/>
      <c r="F81" s="4"/>
      <c r="G81" s="4"/>
      <c r="H81" s="4"/>
    </row>
    <row r="82" ht="15.75" customHeight="1">
      <c r="A82" s="4"/>
      <c r="B82" s="4"/>
      <c r="C82" s="4"/>
      <c r="D82" s="4"/>
      <c r="E82" s="4"/>
      <c r="F82" s="4"/>
      <c r="G82" s="4"/>
      <c r="H82" s="4"/>
    </row>
    <row r="83" ht="15.75" customHeight="1">
      <c r="A83" s="4"/>
      <c r="B83" s="4"/>
      <c r="C83" s="4"/>
      <c r="D83" s="4"/>
      <c r="E83" s="4"/>
      <c r="F83" s="4"/>
      <c r="G83" s="4"/>
      <c r="H83" s="4"/>
    </row>
    <row r="84" ht="15.75" customHeight="1">
      <c r="A84" s="4"/>
      <c r="B84" s="4"/>
      <c r="C84" s="4"/>
      <c r="D84" s="4"/>
      <c r="E84" s="4"/>
      <c r="F84" s="4"/>
      <c r="G84" s="4"/>
      <c r="H84" s="4"/>
    </row>
    <row r="85" ht="15.75" customHeight="1">
      <c r="A85" s="4"/>
      <c r="B85" s="4"/>
      <c r="C85" s="4"/>
      <c r="D85" s="4"/>
      <c r="E85" s="4"/>
      <c r="F85" s="4"/>
      <c r="G85" s="4"/>
      <c r="H85" s="4"/>
    </row>
    <row r="86" ht="15.75" customHeight="1">
      <c r="A86" s="4"/>
      <c r="B86" s="4"/>
      <c r="C86" s="4"/>
      <c r="D86" s="4"/>
      <c r="E86" s="4"/>
      <c r="F86" s="4"/>
      <c r="G86" s="4"/>
      <c r="H86" s="4"/>
    </row>
    <row r="87" ht="15.75" customHeight="1">
      <c r="A87" s="4"/>
      <c r="B87" s="4"/>
      <c r="C87" s="4"/>
      <c r="D87" s="4"/>
      <c r="E87" s="4"/>
      <c r="F87" s="4"/>
      <c r="G87" s="4"/>
      <c r="H87" s="4"/>
    </row>
    <row r="88" ht="15.75" customHeight="1">
      <c r="A88" s="4"/>
      <c r="B88" s="4"/>
      <c r="C88" s="4"/>
      <c r="D88" s="4"/>
      <c r="E88" s="4"/>
      <c r="F88" s="4"/>
      <c r="G88" s="4"/>
      <c r="H88" s="4"/>
    </row>
    <row r="89" ht="15.75" customHeight="1">
      <c r="A89" s="4"/>
      <c r="B89" s="4"/>
      <c r="C89" s="4"/>
      <c r="D89" s="4"/>
      <c r="E89" s="4"/>
      <c r="F89" s="4"/>
      <c r="G89" s="4"/>
      <c r="H89" s="4"/>
    </row>
    <row r="90" ht="15.75" customHeight="1">
      <c r="A90" s="4"/>
      <c r="B90" s="4"/>
      <c r="C90" s="4"/>
      <c r="D90" s="4"/>
      <c r="E90" s="4"/>
      <c r="F90" s="4"/>
      <c r="G90" s="4"/>
      <c r="H90" s="4"/>
    </row>
    <row r="91" ht="15.75" customHeight="1">
      <c r="A91" s="4"/>
      <c r="B91" s="4"/>
      <c r="C91" s="4"/>
      <c r="D91" s="4"/>
      <c r="E91" s="4"/>
      <c r="F91" s="4"/>
      <c r="G91" s="4"/>
      <c r="H91" s="4"/>
    </row>
    <row r="92" ht="15.75" customHeight="1">
      <c r="A92" s="4"/>
      <c r="B92" s="4"/>
      <c r="C92" s="4"/>
      <c r="D92" s="4"/>
      <c r="E92" s="4"/>
      <c r="F92" s="4"/>
      <c r="G92" s="4"/>
      <c r="H92" s="4"/>
    </row>
    <row r="93" ht="15.75" customHeight="1">
      <c r="A93" s="4"/>
      <c r="B93" s="4"/>
      <c r="C93" s="4"/>
      <c r="D93" s="4"/>
      <c r="E93" s="4"/>
      <c r="F93" s="4"/>
      <c r="G93" s="4"/>
      <c r="H93" s="4"/>
    </row>
    <row r="94" ht="15.75" customHeight="1">
      <c r="A94" s="4"/>
      <c r="B94" s="4"/>
      <c r="C94" s="4"/>
      <c r="D94" s="4"/>
      <c r="E94" s="4"/>
      <c r="F94" s="4"/>
      <c r="G94" s="4"/>
      <c r="H94" s="4"/>
    </row>
    <row r="95" ht="15.75" customHeight="1">
      <c r="A95" s="4"/>
      <c r="B95" s="4"/>
      <c r="C95" s="4"/>
      <c r="D95" s="4"/>
      <c r="E95" s="4"/>
      <c r="F95" s="4"/>
      <c r="G95" s="4"/>
      <c r="H95" s="4"/>
    </row>
    <row r="96" ht="15.75" customHeight="1">
      <c r="A96" s="4"/>
      <c r="B96" s="4"/>
      <c r="C96" s="4"/>
      <c r="D96" s="4"/>
      <c r="E96" s="4"/>
      <c r="F96" s="4"/>
      <c r="G96" s="4"/>
      <c r="H96" s="4"/>
    </row>
    <row r="97" ht="15.75" customHeight="1">
      <c r="A97" s="4"/>
      <c r="B97" s="4"/>
      <c r="C97" s="4"/>
      <c r="D97" s="4"/>
      <c r="E97" s="4"/>
      <c r="F97" s="4"/>
      <c r="G97" s="4"/>
      <c r="H97" s="4"/>
    </row>
    <row r="98" ht="15.75" customHeight="1">
      <c r="A98" s="4"/>
      <c r="B98" s="4"/>
      <c r="C98" s="4"/>
      <c r="D98" s="4"/>
      <c r="E98" s="4"/>
      <c r="F98" s="4"/>
      <c r="G98" s="4"/>
      <c r="H98" s="4"/>
    </row>
    <row r="99" ht="15.75" customHeight="1">
      <c r="A99" s="4"/>
      <c r="B99" s="4"/>
      <c r="C99" s="4"/>
      <c r="D99" s="4"/>
      <c r="E99" s="4"/>
      <c r="F99" s="4"/>
      <c r="G99" s="4"/>
      <c r="H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</row>
  </sheetData>
  <mergeCells count="17">
    <mergeCell ref="B2:C7"/>
    <mergeCell ref="B9:G9"/>
    <mergeCell ref="B15:G15"/>
    <mergeCell ref="B16:G29"/>
    <mergeCell ref="B32:G32"/>
    <mergeCell ref="B52:G52"/>
    <mergeCell ref="B57:G57"/>
    <mergeCell ref="C66:G66"/>
    <mergeCell ref="C67:G67"/>
    <mergeCell ref="B72:D72"/>
    <mergeCell ref="B58:G58"/>
    <mergeCell ref="B59:G59"/>
    <mergeCell ref="B60:G60"/>
    <mergeCell ref="B61:G61"/>
    <mergeCell ref="B62:G62"/>
    <mergeCell ref="B64:G64"/>
    <mergeCell ref="C65:G65"/>
  </mergeCells>
  <printOptions/>
  <pageMargins bottom="1.0" footer="0.0" header="0.0" left="0.75" right="0.75" top="1.0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24.0" topLeftCell="A25" activePane="bottomLeft" state="frozen"/>
      <selection activeCell="B26" sqref="B26" pane="bottomLeft"/>
    </sheetView>
  </sheetViews>
  <sheetFormatPr customHeight="1" defaultColWidth="14.43" defaultRowHeight="15.0"/>
  <cols>
    <col customWidth="1" min="1" max="1" width="5.0"/>
    <col customWidth="1" min="2" max="2" width="24.0"/>
    <col customWidth="1" min="3" max="3" width="18.0"/>
    <col customWidth="1" min="4" max="5" width="8.0"/>
    <col customWidth="1" min="6" max="6" width="16.0"/>
    <col customWidth="1" min="7" max="7" width="14.0"/>
    <col customWidth="1" min="8" max="8" width="12.0"/>
    <col customWidth="1" min="9" max="9" width="16.0"/>
    <col customWidth="1" min="10" max="10" width="34.0"/>
    <col customWidth="1" min="11" max="26" width="8.71"/>
  </cols>
  <sheetData>
    <row r="1" ht="25.5" customHeight="1">
      <c r="A1" s="1" t="s">
        <v>306</v>
      </c>
      <c r="B1" s="2"/>
      <c r="C1" s="2"/>
      <c r="D1" s="2"/>
      <c r="E1" s="2"/>
      <c r="F1" s="2"/>
      <c r="G1" s="2"/>
      <c r="H1" s="2"/>
      <c r="I1" s="2"/>
      <c r="J1" s="3"/>
    </row>
    <row r="2" ht="15.0" customHeight="1">
      <c r="A2" s="6" t="str">
        <f>CONCATENATE("Pedido ",PEDIDO!$B$5,"  ·  ",PEDIDO!$B$7,"  ·  versión ",PEDIDO!$B$6)</f>
        <v>Pedido SUB-000842  ·  PROMO 2002  ·  versión 4</v>
      </c>
      <c r="B2" s="4"/>
      <c r="C2" s="4"/>
      <c r="D2" s="4"/>
      <c r="E2" s="4"/>
      <c r="F2" s="4"/>
      <c r="G2" s="4"/>
      <c r="H2" s="4"/>
      <c r="I2" s="4"/>
      <c r="J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</row>
    <row r="4" ht="19.5" customHeight="1">
      <c r="A4" s="9" t="s">
        <v>312</v>
      </c>
      <c r="B4" s="2"/>
      <c r="C4" s="2"/>
      <c r="D4" s="2"/>
      <c r="E4" s="2"/>
      <c r="F4" s="2"/>
      <c r="G4" s="2"/>
      <c r="H4" s="2"/>
      <c r="I4" s="2"/>
      <c r="J4" s="3"/>
    </row>
    <row r="5" ht="15.0" customHeight="1">
      <c r="A5" s="6" t="s">
        <v>313</v>
      </c>
      <c r="B5" s="4"/>
      <c r="C5" s="15" t="s">
        <v>28</v>
      </c>
      <c r="D5" s="39">
        <f>SUM(PRENDAS!$W$3:$W$202)</f>
        <v>28</v>
      </c>
      <c r="E5" s="15" t="s">
        <v>31</v>
      </c>
      <c r="F5" s="39">
        <f>SUM(PRENDAS!$X$3:$X$202)</f>
        <v>17</v>
      </c>
      <c r="G5" s="15" t="s">
        <v>33</v>
      </c>
      <c r="H5" s="39">
        <f>SUM(PRENDAS!$Y$3:$Y$202)</f>
        <v>17</v>
      </c>
      <c r="I5" s="4"/>
      <c r="J5" s="4"/>
    </row>
    <row r="6" ht="15.0" customHeight="1">
      <c r="A6" s="6" t="s">
        <v>316</v>
      </c>
      <c r="B6" s="4"/>
      <c r="C6" s="39">
        <f>COUNTA(PRENDAS!$B$3:$B$202)</f>
        <v>28</v>
      </c>
      <c r="D6" s="4"/>
      <c r="E6" s="15" t="s">
        <v>317</v>
      </c>
      <c r="F6" s="39">
        <f>COUNTIFS(PRENDAS!$O$3:$O$202,"Venta",PRENDAS!$B$3:$B$202,"&lt;&gt;")</f>
        <v>28</v>
      </c>
      <c r="G6" s="15" t="s">
        <v>318</v>
      </c>
      <c r="H6" s="39">
        <f>COUNTIFS(PRENDAS!$O$3:$O$202,"Obsequio")+COUNTIFS(PRENDAS!$O$3:$O$202,"Muestra")</f>
        <v>0</v>
      </c>
      <c r="I6" s="4"/>
      <c r="J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</row>
    <row r="8" ht="15.0" customHeight="1">
      <c r="A8" s="6" t="s">
        <v>319</v>
      </c>
      <c r="B8" s="4"/>
      <c r="C8" s="4"/>
      <c r="D8" s="6" t="s">
        <v>320</v>
      </c>
      <c r="E8" s="4"/>
      <c r="F8" s="4"/>
      <c r="G8" s="6" t="s">
        <v>321</v>
      </c>
      <c r="H8" s="4"/>
      <c r="I8" s="4"/>
      <c r="J8" s="4"/>
    </row>
    <row r="9" ht="15.0" customHeight="1">
      <c r="A9" s="39" t="str">
        <f>CATALOGOS!$A$19</f>
        <v>6</v>
      </c>
      <c r="B9" s="39">
        <f>COUNTIFS(PRENDAS!$E$3:$E$202,CATALOGOS!$A$19)</f>
        <v>0</v>
      </c>
      <c r="C9" s="4"/>
      <c r="D9" s="39" t="str">
        <f>CATALOGOS!$B$67</f>
        <v>Recto</v>
      </c>
      <c r="E9" s="39">
        <f>COUNTIFS(PRENDAS!$I$3:$I$202,CATALOGOS!$B$67)</f>
        <v>22</v>
      </c>
      <c r="F9" s="4"/>
      <c r="G9" s="39" t="str">
        <f>CATALOGOS!$A$67</f>
        <v>Hombre</v>
      </c>
      <c r="H9" s="39">
        <f>COUNTIFS(PRENDAS!$H$3:$H$202,CATALOGOS!$A$67)</f>
        <v>20</v>
      </c>
      <c r="I9" s="4"/>
      <c r="J9" s="4"/>
    </row>
    <row r="10" ht="15.0" customHeight="1">
      <c r="A10" s="39" t="str">
        <f>CATALOGOS!$A$20</f>
        <v>8</v>
      </c>
      <c r="B10" s="39">
        <f>COUNTIFS(PRENDAS!$E$3:$E$202,CATALOGOS!$A$20)</f>
        <v>0</v>
      </c>
      <c r="C10" s="4"/>
      <c r="D10" s="39" t="str">
        <f>CATALOGOS!$B$68</f>
        <v>Entallado</v>
      </c>
      <c r="E10" s="39">
        <f>COUNTIFS(PRENDAS!$I$3:$I$202,CATALOGOS!$B$68)</f>
        <v>6</v>
      </c>
      <c r="F10" s="4"/>
      <c r="G10" s="39" t="str">
        <f>CATALOGOS!$A$68</f>
        <v>Mujer</v>
      </c>
      <c r="H10" s="39">
        <f>COUNTIFS(PRENDAS!$H$3:$H$202,CATALOGOS!$A$68)</f>
        <v>6</v>
      </c>
      <c r="I10" s="4"/>
      <c r="J10" s="4"/>
    </row>
    <row r="11" ht="15.0" customHeight="1">
      <c r="A11" s="39" t="str">
        <f>CATALOGOS!$A$21</f>
        <v>10</v>
      </c>
      <c r="B11" s="39">
        <f>COUNTIFS(PRENDAS!$E$3:$E$202,CATALOGOS!$A$21)</f>
        <v>1</v>
      </c>
      <c r="C11" s="4"/>
      <c r="D11" s="39" t="str">
        <f>CATALOGOS!$B$69</f>
        <v>Princesa</v>
      </c>
      <c r="E11" s="39">
        <f>COUNTIFS(PRENDAS!$I$3:$I$202,CATALOGOS!$B$69)</f>
        <v>0</v>
      </c>
      <c r="F11" s="4"/>
      <c r="G11" s="39" t="str">
        <f>CATALOGOS!$A$69</f>
        <v>Niño</v>
      </c>
      <c r="H11" s="39">
        <f>COUNTIFS(PRENDAS!$H$3:$H$202,CATALOGOS!$A$69)</f>
        <v>2</v>
      </c>
      <c r="I11" s="4"/>
      <c r="J11" s="4"/>
    </row>
    <row r="12" ht="15.0" customHeight="1">
      <c r="A12" s="39" t="str">
        <f>CATALOGOS!$A$22</f>
        <v>12</v>
      </c>
      <c r="B12" s="39">
        <f>COUNTIFS(PRENDAS!$E$3:$E$202,CATALOGOS!$A$22)</f>
        <v>0</v>
      </c>
      <c r="C12" s="4"/>
      <c r="D12" s="4"/>
      <c r="E12" s="4"/>
      <c r="F12" s="4"/>
      <c r="G12" s="39" t="str">
        <f>CATALOGOS!$A$70</f>
        <v>Niña</v>
      </c>
      <c r="H12" s="39">
        <f>COUNTIFS(PRENDAS!$H$3:$H$202,CATALOGOS!$A$70)</f>
        <v>0</v>
      </c>
      <c r="I12" s="4"/>
      <c r="J12" s="4"/>
    </row>
    <row r="13" ht="15.0" customHeight="1">
      <c r="A13" s="39" t="str">
        <f>CATALOGOS!$A$23</f>
        <v>14</v>
      </c>
      <c r="B13" s="39">
        <f>COUNTIFS(PRENDAS!$E$3:$E$202,CATALOGOS!$A$23)</f>
        <v>1</v>
      </c>
      <c r="C13" s="4"/>
      <c r="D13" s="4"/>
      <c r="E13" s="4"/>
      <c r="F13" s="4"/>
      <c r="G13" s="39" t="str">
        <f>CATALOGOS!$A$71</f>
        <v>Sin especificar</v>
      </c>
      <c r="H13" s="39">
        <f>COUNTIFS(PRENDAS!$H$3:$H$202,CATALOGOS!$A$71)</f>
        <v>0</v>
      </c>
      <c r="I13" s="4"/>
      <c r="J13" s="4"/>
    </row>
    <row r="14" ht="15.0" customHeight="1">
      <c r="A14" s="39" t="str">
        <f>CATALOGOS!$A$24</f>
        <v>16</v>
      </c>
      <c r="B14" s="39">
        <f>COUNTIFS(PRENDAS!$E$3:$E$202,CATALOGOS!$A$24)</f>
        <v>0</v>
      </c>
      <c r="C14" s="4"/>
      <c r="D14" s="4"/>
      <c r="E14" s="4"/>
      <c r="F14" s="4"/>
      <c r="G14" s="4"/>
      <c r="H14" s="4"/>
      <c r="I14" s="4"/>
      <c r="J14" s="4"/>
    </row>
    <row r="15" ht="15.0" customHeight="1">
      <c r="A15" s="39" t="str">
        <f>CATALOGOS!$A$25</f>
        <v>S</v>
      </c>
      <c r="B15" s="39">
        <f>COUNTIFS(PRENDAS!$E$3:$E$202,CATALOGOS!$A$25)</f>
        <v>3</v>
      </c>
      <c r="C15" s="4"/>
      <c r="D15" s="4"/>
      <c r="E15" s="4"/>
      <c r="F15" s="4"/>
      <c r="G15" s="4"/>
      <c r="H15" s="4"/>
      <c r="I15" s="4"/>
      <c r="J15" s="4"/>
    </row>
    <row r="16" ht="15.0" customHeight="1">
      <c r="A16" s="39" t="str">
        <f>CATALOGOS!$A$26</f>
        <v>M</v>
      </c>
      <c r="B16" s="39">
        <f>COUNTIFS(PRENDAS!$E$3:$E$202,CATALOGOS!$A$26)</f>
        <v>12</v>
      </c>
      <c r="C16" s="4"/>
      <c r="D16" s="4"/>
      <c r="E16" s="4"/>
      <c r="F16" s="4"/>
      <c r="G16" s="4"/>
      <c r="H16" s="4"/>
      <c r="I16" s="4"/>
      <c r="J16" s="4"/>
    </row>
    <row r="17" ht="15.0" customHeight="1">
      <c r="A17" s="39" t="str">
        <f>CATALOGOS!$A$27</f>
        <v>L</v>
      </c>
      <c r="B17" s="39">
        <f>COUNTIFS(PRENDAS!$E$3:$E$202,CATALOGOS!$A$27)</f>
        <v>8</v>
      </c>
      <c r="C17" s="4"/>
      <c r="D17" s="4"/>
      <c r="E17" s="4"/>
      <c r="F17" s="4"/>
      <c r="G17" s="4"/>
      <c r="H17" s="4"/>
      <c r="I17" s="4"/>
      <c r="J17" s="4"/>
    </row>
    <row r="18" ht="15.0" customHeight="1">
      <c r="A18" s="39" t="str">
        <f>CATALOGOS!$A$28</f>
        <v>XL</v>
      </c>
      <c r="B18" s="39">
        <f>COUNTIFS(PRENDAS!$E$3:$E$202,CATALOGOS!$A$28)</f>
        <v>3</v>
      </c>
      <c r="C18" s="4"/>
      <c r="D18" s="4"/>
      <c r="E18" s="4"/>
      <c r="F18" s="4"/>
      <c r="G18" s="4"/>
      <c r="H18" s="4"/>
      <c r="I18" s="4"/>
      <c r="J18" s="4"/>
    </row>
    <row r="19" ht="15.0" customHeight="1">
      <c r="A19" s="39" t="str">
        <f>CATALOGOS!$A$29</f>
        <v>XXL</v>
      </c>
      <c r="B19" s="39">
        <f>COUNTIFS(PRENDAS!$E$3:$E$202,CATALOGOS!$A$29)</f>
        <v>0</v>
      </c>
      <c r="C19" s="4"/>
      <c r="D19" s="4"/>
      <c r="E19" s="4"/>
      <c r="F19" s="4"/>
      <c r="G19" s="4"/>
      <c r="H19" s="4"/>
      <c r="I19" s="4"/>
      <c r="J19" s="4"/>
    </row>
    <row r="20" ht="15.0" customHeight="1">
      <c r="A20" s="39" t="str">
        <f>CATALOGOS!$A$30</f>
        <v>XXXL</v>
      </c>
      <c r="B20" s="39">
        <f>COUNTIFS(PRENDAS!$E$3:$E$202,CATALOGOS!$A$30)</f>
        <v>0</v>
      </c>
      <c r="C20" s="4"/>
      <c r="D20" s="4"/>
      <c r="E20" s="4"/>
      <c r="F20" s="4"/>
      <c r="G20" s="4"/>
      <c r="H20" s="4"/>
      <c r="I20" s="4"/>
      <c r="J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</row>
    <row r="23" ht="19.5" customHeight="1">
      <c r="A23" s="9" t="s">
        <v>327</v>
      </c>
      <c r="B23" s="2"/>
      <c r="C23" s="2"/>
      <c r="D23" s="2"/>
      <c r="E23" s="2"/>
      <c r="F23" s="2"/>
      <c r="G23" s="2"/>
      <c r="H23" s="2"/>
      <c r="I23" s="2"/>
      <c r="J23" s="3"/>
    </row>
    <row r="24" ht="25.5" customHeight="1">
      <c r="A24" s="25" t="s">
        <v>10</v>
      </c>
      <c r="B24" s="25" t="s">
        <v>14</v>
      </c>
      <c r="C24" s="25" t="s">
        <v>17</v>
      </c>
      <c r="D24" s="25" t="s">
        <v>20</v>
      </c>
      <c r="E24" s="25" t="s">
        <v>328</v>
      </c>
      <c r="F24" s="25" t="s">
        <v>24</v>
      </c>
      <c r="G24" s="25" t="s">
        <v>27</v>
      </c>
      <c r="H24" s="25" t="s">
        <v>30</v>
      </c>
      <c r="I24" s="25" t="s">
        <v>34</v>
      </c>
      <c r="J24" s="25" t="s">
        <v>329</v>
      </c>
    </row>
    <row r="25" ht="15.0" customHeight="1">
      <c r="A25" s="30">
        <f>IF(PRENDAS!$B3="","",PRENDAS!$A3)</f>
        <v>1</v>
      </c>
      <c r="B25" s="21" t="str">
        <f>IF(PRENDAS!$B3="","",PRENDAS!$B3)</f>
        <v>ANMIX BRENIS</v>
      </c>
      <c r="C25" s="21" t="str">
        <f>IF(PRENDAS!$B3="","",PRENDAS!$D3)</f>
        <v>Kit completo</v>
      </c>
      <c r="D25" s="30" t="str">
        <f>IF(PRENDAS!$B3="","",PRENDAS!$E3)</f>
        <v>M</v>
      </c>
      <c r="E25" s="30" t="str">
        <f>IF(PRENDAS!$B3="","",PRENDAS!$F3)</f>
        <v>7</v>
      </c>
      <c r="F25" s="21" t="str">
        <f>IF(PRENDAS!$B3="","",PRENDAS!$G3)</f>
        <v>Blanco hueso</v>
      </c>
      <c r="G25" s="21" t="str">
        <f>IF(PRENDAS!$B3="","",PRENDAS!$H3)</f>
        <v>Hombre</v>
      </c>
      <c r="H25" s="21" t="str">
        <f>IF(PRENDAS!$B3="","",PRENDAS!$I3)</f>
        <v>Recto</v>
      </c>
      <c r="I25" s="21" t="str">
        <f>IF(PRENDAS!$B3="","",PRENDAS!$J3)</f>
        <v>Redondo</v>
      </c>
      <c r="J25" s="21" t="str">
        <f>IF(PRENDAS!$B3="","",PRENDAS!$P3)</f>
        <v>Nombre de esposa en cuello delantero</v>
      </c>
    </row>
    <row r="26" ht="15.0" customHeight="1">
      <c r="A26" s="30">
        <f>IF(PRENDAS!$B4="","",PRENDAS!$A4)</f>
        <v>2</v>
      </c>
      <c r="B26" s="21" t="str">
        <f>IF(PRENDAS!$B4="","",PRENDAS!$B4)</f>
        <v>J. HUANCAS</v>
      </c>
      <c r="C26" s="21" t="str">
        <f>IF(PRENDAS!$B4="","",PRENDAS!$D4)</f>
        <v>Kit completo</v>
      </c>
      <c r="D26" s="30" t="str">
        <f>IF(PRENDAS!$B4="","",PRENDAS!$E4)</f>
        <v>M</v>
      </c>
      <c r="E26" s="30" t="str">
        <f>IF(PRENDAS!$B4="","",PRENDAS!$F4)</f>
        <v>7</v>
      </c>
      <c r="F26" s="21" t="str">
        <f>IF(PRENDAS!$B4="","",PRENDAS!$G4)</f>
        <v>Blanco hueso</v>
      </c>
      <c r="G26" s="21" t="str">
        <f>IF(PRENDAS!$B4="","",PRENDAS!$H4)</f>
        <v>Hombre</v>
      </c>
      <c r="H26" s="21" t="str">
        <f>IF(PRENDAS!$B4="","",PRENDAS!$I4)</f>
        <v>Recto</v>
      </c>
      <c r="I26" s="21" t="str">
        <f>IF(PRENDAS!$B4="","",PRENDAS!$J4)</f>
        <v>Redondo</v>
      </c>
      <c r="J26" s="21" t="str">
        <f>IF(PRENDAS!$B4="","",PRENDAS!$P4)</f>
        <v/>
      </c>
    </row>
    <row r="27" ht="15.0" customHeight="1">
      <c r="A27" s="30">
        <f>IF(PRENDAS!$B5="","",PRENDAS!$A5)</f>
        <v>3</v>
      </c>
      <c r="B27" s="21" t="str">
        <f>IF(PRENDAS!$B5="","",PRENDAS!$B5)</f>
        <v>BANCES</v>
      </c>
      <c r="C27" s="21" t="str">
        <f>IF(PRENDAS!$B5="","",PRENDAS!$D5)</f>
        <v>Kit completo</v>
      </c>
      <c r="D27" s="30" t="str">
        <f>IF(PRENDAS!$B5="","",PRENDAS!$E5)</f>
        <v>M</v>
      </c>
      <c r="E27" s="30" t="str">
        <f>IF(PRENDAS!$B5="","",PRENDAS!$F5)</f>
        <v>17</v>
      </c>
      <c r="F27" s="21" t="str">
        <f>IF(PRENDAS!$B5="","",PRENDAS!$G5)</f>
        <v>Blanco hueso</v>
      </c>
      <c r="G27" s="21" t="str">
        <f>IF(PRENDAS!$B5="","",PRENDAS!$H5)</f>
        <v>Hombre</v>
      </c>
      <c r="H27" s="21" t="str">
        <f>IF(PRENDAS!$B5="","",PRENDAS!$I5)</f>
        <v>Recto</v>
      </c>
      <c r="I27" s="21" t="str">
        <f>IF(PRENDAS!$B5="","",PRENDAS!$J5)</f>
        <v>Redondo</v>
      </c>
      <c r="J27" s="21" t="str">
        <f>IF(PRENDAS!$B5="","",PRENDAS!$P5)</f>
        <v/>
      </c>
    </row>
    <row r="28" ht="15.0" customHeight="1">
      <c r="A28" s="30">
        <f>IF(PRENDAS!$B6="","",PRENDAS!$A6)</f>
        <v>4</v>
      </c>
      <c r="B28" s="21" t="str">
        <f>IF(PRENDAS!$B6="","",PRENDAS!$B6)</f>
        <v>VENTURA</v>
      </c>
      <c r="C28" s="21" t="str">
        <f>IF(PRENDAS!$B6="","",PRENDAS!$D6)</f>
        <v>Kit completo</v>
      </c>
      <c r="D28" s="30" t="str">
        <f>IF(PRENDAS!$B6="","",PRENDAS!$E6)</f>
        <v>M</v>
      </c>
      <c r="E28" s="30" t="str">
        <f>IF(PRENDAS!$B6="","",PRENDAS!$F6)</f>
        <v>9</v>
      </c>
      <c r="F28" s="21" t="str">
        <f>IF(PRENDAS!$B6="","",PRENDAS!$G6)</f>
        <v>Blanco hueso</v>
      </c>
      <c r="G28" s="21" t="str">
        <f>IF(PRENDAS!$B6="","",PRENDAS!$H6)</f>
        <v>Hombre</v>
      </c>
      <c r="H28" s="21" t="str">
        <f>IF(PRENDAS!$B6="","",PRENDAS!$I6)</f>
        <v>Recto</v>
      </c>
      <c r="I28" s="21" t="str">
        <f>IF(PRENDAS!$B6="","",PRENDAS!$J6)</f>
        <v>Redondo</v>
      </c>
      <c r="J28" s="21" t="str">
        <f>IF(PRENDAS!$B6="","",PRENDAS!$P6)</f>
        <v/>
      </c>
    </row>
    <row r="29" ht="15.0" customHeight="1">
      <c r="A29" s="30">
        <f>IF(PRENDAS!$B7="","",PRENDAS!$A7)</f>
        <v>5</v>
      </c>
      <c r="B29" s="21" t="str">
        <f>IF(PRENDAS!$B7="","",PRENDAS!$B7)</f>
        <v>JHEINER</v>
      </c>
      <c r="C29" s="21" t="str">
        <f>IF(PRENDAS!$B7="","",PRENDAS!$D7)</f>
        <v>Kit completo</v>
      </c>
      <c r="D29" s="30" t="str">
        <f>IF(PRENDAS!$B7="","",PRENDAS!$E7)</f>
        <v>M</v>
      </c>
      <c r="E29" s="30" t="str">
        <f>IF(PRENDAS!$B7="","",PRENDAS!$F7)</f>
        <v>12</v>
      </c>
      <c r="F29" s="21" t="str">
        <f>IF(PRENDAS!$B7="","",PRENDAS!$G7)</f>
        <v>Blanco hueso</v>
      </c>
      <c r="G29" s="21" t="str">
        <f>IF(PRENDAS!$B7="","",PRENDAS!$H7)</f>
        <v>Hombre</v>
      </c>
      <c r="H29" s="21" t="str">
        <f>IF(PRENDAS!$B7="","",PRENDAS!$I7)</f>
        <v>Recto</v>
      </c>
      <c r="I29" s="21" t="str">
        <f>IF(PRENDAS!$B7="","",PRENDAS!$J7)</f>
        <v>Redondo</v>
      </c>
      <c r="J29" s="21" t="str">
        <f>IF(PRENDAS!$B7="","",PRENDAS!$P7)</f>
        <v/>
      </c>
    </row>
    <row r="30" ht="15.0" customHeight="1">
      <c r="A30" s="30">
        <f>IF(PRENDAS!$B8="","",PRENDAS!$A8)</f>
        <v>6</v>
      </c>
      <c r="B30" s="21" t="str">
        <f>IF(PRENDAS!$B8="","",PRENDAS!$B8)</f>
        <v>JUAN R.</v>
      </c>
      <c r="C30" s="21" t="str">
        <f>IF(PRENDAS!$B8="","",PRENDAS!$D8)</f>
        <v>Kit completo</v>
      </c>
      <c r="D30" s="30" t="str">
        <f>IF(PRENDAS!$B8="","",PRENDAS!$E8)</f>
        <v>M</v>
      </c>
      <c r="E30" s="30" t="str">
        <f>IF(PRENDAS!$B8="","",PRENDAS!$F8)</f>
        <v>12</v>
      </c>
      <c r="F30" s="21" t="str">
        <f>IF(PRENDAS!$B8="","",PRENDAS!$G8)</f>
        <v>Blanco hueso</v>
      </c>
      <c r="G30" s="21" t="str">
        <f>IF(PRENDAS!$B8="","",PRENDAS!$H8)</f>
        <v>Hombre</v>
      </c>
      <c r="H30" s="21" t="str">
        <f>IF(PRENDAS!$B8="","",PRENDAS!$I8)</f>
        <v>Recto</v>
      </c>
      <c r="I30" s="21" t="str">
        <f>IF(PRENDAS!$B8="","",PRENDAS!$J8)</f>
        <v>Redondo</v>
      </c>
      <c r="J30" s="21" t="str">
        <f>IF(PRENDAS!$B8="","",PRENDAS!$P8)</f>
        <v>JUAN R. nombre principal; KALESSI en cuello delantero; JOHNATAN manga izquierda; DIEGO manga derecha</v>
      </c>
    </row>
    <row r="31" ht="15.0" customHeight="1">
      <c r="A31" s="30">
        <f>IF(PRENDAS!$B9="","",PRENDAS!$A9)</f>
        <v>7</v>
      </c>
      <c r="B31" s="21" t="str">
        <f>IF(PRENDAS!$B9="","",PRENDAS!$B9)</f>
        <v>JORGE C.</v>
      </c>
      <c r="C31" s="21" t="str">
        <f>IF(PRENDAS!$B9="","",PRENDAS!$D9)</f>
        <v>Kit completo</v>
      </c>
      <c r="D31" s="30" t="str">
        <f>IF(PRENDAS!$B9="","",PRENDAS!$E9)</f>
        <v>M</v>
      </c>
      <c r="E31" s="30" t="str">
        <f>IF(PRENDAS!$B9="","",PRENDAS!$F9)</f>
        <v>7</v>
      </c>
      <c r="F31" s="21" t="str">
        <f>IF(PRENDAS!$B9="","",PRENDAS!$G9)</f>
        <v>Blanco hueso</v>
      </c>
      <c r="G31" s="21" t="str">
        <f>IF(PRENDAS!$B9="","",PRENDAS!$H9)</f>
        <v>Hombre</v>
      </c>
      <c r="H31" s="21" t="str">
        <f>IF(PRENDAS!$B9="","",PRENDAS!$I9)</f>
        <v>Recto</v>
      </c>
      <c r="I31" s="21" t="str">
        <f>IF(PRENDAS!$B9="","",PRENDAS!$J9)</f>
        <v>Redondo</v>
      </c>
      <c r="J31" s="21" t="str">
        <f>IF(PRENDAS!$B9="","",PRENDAS!$P9)</f>
        <v/>
      </c>
    </row>
    <row r="32" ht="15.0" customHeight="1">
      <c r="A32" s="30">
        <f>IF(PRENDAS!$B10="","",PRENDAS!$A10)</f>
        <v>8</v>
      </c>
      <c r="B32" s="21" t="str">
        <f>IF(PRENDAS!$B10="","",PRENDAS!$B10)</f>
        <v>C. ACOSTA</v>
      </c>
      <c r="C32" s="21" t="str">
        <f>IF(PRENDAS!$B10="","",PRENDAS!$D10)</f>
        <v>Kit completo</v>
      </c>
      <c r="D32" s="30" t="str">
        <f>IF(PRENDAS!$B10="","",PRENDAS!$E10)</f>
        <v>M</v>
      </c>
      <c r="E32" s="30" t="str">
        <f>IF(PRENDAS!$B10="","",PRENDAS!$F10)</f>
        <v>10</v>
      </c>
      <c r="F32" s="21" t="str">
        <f>IF(PRENDAS!$B10="","",PRENDAS!$G10)</f>
        <v>Blanco hueso</v>
      </c>
      <c r="G32" s="21" t="str">
        <f>IF(PRENDAS!$B10="","",PRENDAS!$H10)</f>
        <v>Hombre</v>
      </c>
      <c r="H32" s="21" t="str">
        <f>IF(PRENDAS!$B10="","",PRENDAS!$I10)</f>
        <v>Recto</v>
      </c>
      <c r="I32" s="21" t="str">
        <f>IF(PRENDAS!$B10="","",PRENDAS!$J10)</f>
        <v>Redondo</v>
      </c>
      <c r="J32" s="21" t="str">
        <f>IF(PRENDAS!$B10="","",PRENDAS!$P10)</f>
        <v/>
      </c>
    </row>
    <row r="33" ht="15.0" customHeight="1">
      <c r="A33" s="30">
        <f>IF(PRENDAS!$B11="","",PRENDAS!$A11)</f>
        <v>9</v>
      </c>
      <c r="B33" s="21" t="str">
        <f>IF(PRENDAS!$B11="","",PRENDAS!$B11)</f>
        <v>LADINES</v>
      </c>
      <c r="C33" s="21" t="str">
        <f>IF(PRENDAS!$B11="","",PRENDAS!$D11)</f>
        <v>Kit completo</v>
      </c>
      <c r="D33" s="30" t="str">
        <f>IF(PRENDAS!$B11="","",PRENDAS!$E11)</f>
        <v>L</v>
      </c>
      <c r="E33" s="30" t="str">
        <f>IF(PRENDAS!$B11="","",PRENDAS!$F11)</f>
        <v>3</v>
      </c>
      <c r="F33" s="21" t="str">
        <f>IF(PRENDAS!$B11="","",PRENDAS!$G11)</f>
        <v>Blanco hueso</v>
      </c>
      <c r="G33" s="21" t="str">
        <f>IF(PRENDAS!$B11="","",PRENDAS!$H11)</f>
        <v>Hombre</v>
      </c>
      <c r="H33" s="21" t="str">
        <f>IF(PRENDAS!$B11="","",PRENDAS!$I11)</f>
        <v>Recto</v>
      </c>
      <c r="I33" s="21" t="str">
        <f>IF(PRENDAS!$B11="","",PRENDAS!$J11)</f>
        <v>Redondo</v>
      </c>
      <c r="J33" s="21" t="str">
        <f>IF(PRENDAS!$B11="","",PRENDAS!$P11)</f>
        <v/>
      </c>
    </row>
    <row r="34" ht="15.0" customHeight="1">
      <c r="A34" s="30">
        <f>IF(PRENDAS!$B12="","",PRENDAS!$A12)</f>
        <v>10</v>
      </c>
      <c r="B34" s="21" t="str">
        <f>IF(PRENDAS!$B12="","",PRENDAS!$B12)</f>
        <v>GUSTAVO R.</v>
      </c>
      <c r="C34" s="21" t="str">
        <f>IF(PRENDAS!$B12="","",PRENDAS!$D12)</f>
        <v>Kit completo</v>
      </c>
      <c r="D34" s="30" t="str">
        <f>IF(PRENDAS!$B12="","",PRENDAS!$E12)</f>
        <v>L</v>
      </c>
      <c r="E34" s="30" t="str">
        <f>IF(PRENDAS!$B12="","",PRENDAS!$F12)</f>
        <v>11</v>
      </c>
      <c r="F34" s="21" t="str">
        <f>IF(PRENDAS!$B12="","",PRENDAS!$G12)</f>
        <v>Blanco hueso</v>
      </c>
      <c r="G34" s="21" t="str">
        <f>IF(PRENDAS!$B12="","",PRENDAS!$H12)</f>
        <v>Hombre</v>
      </c>
      <c r="H34" s="21" t="str">
        <f>IF(PRENDAS!$B12="","",PRENDAS!$I12)</f>
        <v>Recto</v>
      </c>
      <c r="I34" s="21" t="str">
        <f>IF(PRENDAS!$B12="","",PRENDAS!$J12)</f>
        <v>Redondo</v>
      </c>
      <c r="J34" s="21" t="str">
        <f>IF(PRENDAS!$B12="","",PRENDAS!$P12)</f>
        <v/>
      </c>
    </row>
    <row r="35" ht="15.0" customHeight="1">
      <c r="A35" s="30">
        <f>IF(PRENDAS!$B13="","",PRENDAS!$A13)</f>
        <v>11</v>
      </c>
      <c r="B35" s="21" t="str">
        <f>IF(PRENDAS!$B13="","",PRENDAS!$B13)</f>
        <v>CALDERON</v>
      </c>
      <c r="C35" s="21" t="str">
        <f>IF(PRENDAS!$B13="","",PRENDAS!$D13)</f>
        <v>Kit completo</v>
      </c>
      <c r="D35" s="30" t="str">
        <f>IF(PRENDAS!$B13="","",PRENDAS!$E13)</f>
        <v>L</v>
      </c>
      <c r="E35" s="30" t="str">
        <f>IF(PRENDAS!$B13="","",PRENDAS!$F13)</f>
        <v>14</v>
      </c>
      <c r="F35" s="21" t="str">
        <f>IF(PRENDAS!$B13="","",PRENDAS!$G13)</f>
        <v>Blanco hueso</v>
      </c>
      <c r="G35" s="21" t="str">
        <f>IF(PRENDAS!$B13="","",PRENDAS!$H13)</f>
        <v>Hombre</v>
      </c>
      <c r="H35" s="21" t="str">
        <f>IF(PRENDAS!$B13="","",PRENDAS!$I13)</f>
        <v>Recto</v>
      </c>
      <c r="I35" s="21" t="str">
        <f>IF(PRENDAS!$B13="","",PRENDAS!$J13)</f>
        <v>Redondo</v>
      </c>
      <c r="J35" s="21" t="str">
        <f>IF(PRENDAS!$B13="","",PRENDAS!$P13)</f>
        <v/>
      </c>
    </row>
    <row r="36" ht="15.0" customHeight="1">
      <c r="A36" s="30">
        <f>IF(PRENDAS!$B14="","",PRENDAS!$A14)</f>
        <v>12</v>
      </c>
      <c r="B36" s="21" t="str">
        <f>IF(PRENDAS!$B14="","",PRENDAS!$B14)</f>
        <v>ALAN F.</v>
      </c>
      <c r="C36" s="21" t="str">
        <f>IF(PRENDAS!$B14="","",PRENDAS!$D14)</f>
        <v>Kit completo</v>
      </c>
      <c r="D36" s="30" t="str">
        <f>IF(PRENDAS!$B14="","",PRENDAS!$E14)</f>
        <v>L</v>
      </c>
      <c r="E36" s="30" t="str">
        <f>IF(PRENDAS!$B14="","",PRENDAS!$F14)</f>
        <v>8</v>
      </c>
      <c r="F36" s="21" t="str">
        <f>IF(PRENDAS!$B14="","",PRENDAS!$G14)</f>
        <v>Blanco hueso</v>
      </c>
      <c r="G36" s="21" t="str">
        <f>IF(PRENDAS!$B14="","",PRENDAS!$H14)</f>
        <v>Hombre</v>
      </c>
      <c r="H36" s="21" t="str">
        <f>IF(PRENDAS!$B14="","",PRENDAS!$I14)</f>
        <v>Recto</v>
      </c>
      <c r="I36" s="21" t="str">
        <f>IF(PRENDAS!$B14="","",PRENDAS!$J14)</f>
        <v>Redondo</v>
      </c>
      <c r="J36" s="21" t="str">
        <f>IF(PRENDAS!$B14="","",PRENDAS!$P14)</f>
        <v/>
      </c>
    </row>
    <row r="37" ht="15.0" customHeight="1">
      <c r="A37" s="30">
        <f>IF(PRENDAS!$B15="","",PRENDAS!$A15)</f>
        <v>13</v>
      </c>
      <c r="B37" s="21" t="str">
        <f>IF(PRENDAS!$B15="","",PRENDAS!$B15)</f>
        <v>ALAN R.</v>
      </c>
      <c r="C37" s="21" t="str">
        <f>IF(PRENDAS!$B15="","",PRENDAS!$D15)</f>
        <v>Kit completo</v>
      </c>
      <c r="D37" s="30" t="str">
        <f>IF(PRENDAS!$B15="","",PRENDAS!$E15)</f>
        <v>L</v>
      </c>
      <c r="E37" s="30" t="str">
        <f>IF(PRENDAS!$B15="","",PRENDAS!$F15)</f>
        <v>7</v>
      </c>
      <c r="F37" s="21" t="str">
        <f>IF(PRENDAS!$B15="","",PRENDAS!$G15)</f>
        <v>Blanco hueso</v>
      </c>
      <c r="G37" s="21" t="str">
        <f>IF(PRENDAS!$B15="","",PRENDAS!$H15)</f>
        <v>Hombre</v>
      </c>
      <c r="H37" s="21" t="str">
        <f>IF(PRENDAS!$B15="","",PRENDAS!$I15)</f>
        <v>Recto</v>
      </c>
      <c r="I37" s="21" t="str">
        <f>IF(PRENDAS!$B15="","",PRENDAS!$J15)</f>
        <v>Redondo</v>
      </c>
      <c r="J37" s="21" t="str">
        <f>IF(PRENDAS!$B15="","",PRENDAS!$P15)</f>
        <v/>
      </c>
    </row>
    <row r="38" ht="15.0" customHeight="1">
      <c r="A38" s="30">
        <f>IF(PRENDAS!$B16="","",PRENDAS!$A16)</f>
        <v>14</v>
      </c>
      <c r="B38" s="21" t="str">
        <f>IF(PRENDAS!$B16="","",PRENDAS!$B16)</f>
        <v>FLORES</v>
      </c>
      <c r="C38" s="21" t="str">
        <f>IF(PRENDAS!$B16="","",PRENDAS!$D16)</f>
        <v>Kit completo</v>
      </c>
      <c r="D38" s="30" t="str">
        <f>IF(PRENDAS!$B16="","",PRENDAS!$E16)</f>
        <v>L</v>
      </c>
      <c r="E38" s="30" t="str">
        <f>IF(PRENDAS!$B16="","",PRENDAS!$F16)</f>
        <v>30</v>
      </c>
      <c r="F38" s="21" t="str">
        <f>IF(PRENDAS!$B16="","",PRENDAS!$G16)</f>
        <v>Blanco hueso</v>
      </c>
      <c r="G38" s="21" t="str">
        <f>IF(PRENDAS!$B16="","",PRENDAS!$H16)</f>
        <v>Hombre</v>
      </c>
      <c r="H38" s="21" t="str">
        <f>IF(PRENDAS!$B16="","",PRENDAS!$I16)</f>
        <v>Recto</v>
      </c>
      <c r="I38" s="21" t="str">
        <f>IF(PRENDAS!$B16="","",PRENDAS!$J16)</f>
        <v>Redondo</v>
      </c>
      <c r="J38" s="21" t="str">
        <f>IF(PRENDAS!$B16="","",PRENDAS!$P16)</f>
        <v/>
      </c>
    </row>
    <row r="39" ht="15.0" customHeight="1">
      <c r="A39" s="30">
        <f>IF(PRENDAS!$B17="","",PRENDAS!$A17)</f>
        <v>15</v>
      </c>
      <c r="B39" s="21" t="str">
        <f>IF(PRENDAS!$B17="","",PRENDAS!$B17)</f>
        <v>CLINT</v>
      </c>
      <c r="C39" s="21" t="str">
        <f>IF(PRENDAS!$B17="","",PRENDAS!$D17)</f>
        <v>Kit completo</v>
      </c>
      <c r="D39" s="30" t="str">
        <f>IF(PRENDAS!$B17="","",PRENDAS!$E17)</f>
        <v>XL</v>
      </c>
      <c r="E39" s="30" t="str">
        <f>IF(PRENDAS!$B17="","",PRENDAS!$F17)</f>
        <v>69</v>
      </c>
      <c r="F39" s="21" t="str">
        <f>IF(PRENDAS!$B17="","",PRENDAS!$G17)</f>
        <v>Blanco hueso</v>
      </c>
      <c r="G39" s="21" t="str">
        <f>IF(PRENDAS!$B17="","",PRENDAS!$H17)</f>
        <v>Hombre</v>
      </c>
      <c r="H39" s="21" t="str">
        <f>IF(PRENDAS!$B17="","",PRENDAS!$I17)</f>
        <v>Recto</v>
      </c>
      <c r="I39" s="21" t="str">
        <f>IF(PRENDAS!$B17="","",PRENDAS!$J17)</f>
        <v>Redondo</v>
      </c>
      <c r="J39" s="21" t="str">
        <f>IF(PRENDAS!$B17="","",PRENDAS!$P17)</f>
        <v>Nombres de los hijos en las mangas; nombre de la esposa en el cuello delantero</v>
      </c>
    </row>
    <row r="40" ht="15.0" customHeight="1">
      <c r="A40" s="30">
        <f>IF(PRENDAS!$B18="","",PRENDAS!$A18)</f>
        <v>16</v>
      </c>
      <c r="B40" s="50" t="str">
        <f>IF(PRENDAS!$B18="","",PRENDAS!$B18)</f>
        <v>HA.LI</v>
      </c>
      <c r="C40" s="21" t="str">
        <f>IF(PRENDAS!$B18="","",PRENDAS!$D18)</f>
        <v>Kit completo</v>
      </c>
      <c r="D40" s="30" t="str">
        <f>IF(PRENDAS!$B18="","",PRENDAS!$E18)</f>
        <v>XL</v>
      </c>
      <c r="E40" s="30" t="str">
        <f>IF(PRENDAS!$B18="","",PRENDAS!$F18)</f>
        <v>119</v>
      </c>
      <c r="F40" s="21" t="str">
        <f>IF(PRENDAS!$B18="","",PRENDAS!$G18)</f>
        <v>Blanco hueso</v>
      </c>
      <c r="G40" s="21" t="str">
        <f>IF(PRENDAS!$B18="","",PRENDAS!$H18)</f>
        <v>Hombre</v>
      </c>
      <c r="H40" s="21" t="str">
        <f>IF(PRENDAS!$B18="","",PRENDAS!$I18)</f>
        <v>Recto</v>
      </c>
      <c r="I40" s="21" t="str">
        <f>IF(PRENDAS!$B18="","",PRENDAS!$J18)</f>
        <v>Redondo</v>
      </c>
      <c r="J40" s="21" t="str">
        <f>IF(PRENDAS!$B18="","",PRENDAS!$P18)</f>
        <v/>
      </c>
    </row>
    <row r="41" ht="15.0" customHeight="1">
      <c r="A41" s="30">
        <f>IF(PRENDAS!$B19="","",PRENDAS!$A19)</f>
        <v>17</v>
      </c>
      <c r="B41" s="21" t="str">
        <f>IF(PRENDAS!$B19="","",PRENDAS!$B19)</f>
        <v>THEO</v>
      </c>
      <c r="C41" s="21" t="str">
        <f>IF(PRENDAS!$B19="","",PRENDAS!$D19)</f>
        <v>Camiseta sola</v>
      </c>
      <c r="D41" s="30" t="str">
        <f>IF(PRENDAS!$B19="","",PRENDAS!$E19)</f>
        <v>10</v>
      </c>
      <c r="E41" s="30" t="str">
        <f>IF(PRENDAS!$B19="","",PRENDAS!$F19)</f>
        <v>69</v>
      </c>
      <c r="F41" s="21" t="str">
        <f>IF(PRENDAS!$B19="","",PRENDAS!$G19)</f>
        <v>Blanco hueso</v>
      </c>
      <c r="G41" s="21" t="str">
        <f>IF(PRENDAS!$B19="","",PRENDAS!$H19)</f>
        <v>Niño</v>
      </c>
      <c r="H41" s="21" t="str">
        <f>IF(PRENDAS!$B19="","",PRENDAS!$I19)</f>
        <v>Recto</v>
      </c>
      <c r="I41" s="21" t="str">
        <f>IF(PRENDAS!$B19="","",PRENDAS!$J19)</f>
        <v>Redondo</v>
      </c>
      <c r="J41" s="21" t="str">
        <f>IF(PRENDAS!$B19="","",PRENDAS!$P19)</f>
        <v/>
      </c>
    </row>
    <row r="42" ht="15.0" customHeight="1">
      <c r="A42" s="30">
        <f>IF(PRENDAS!$B20="","",PRENDAS!$A20)</f>
        <v>18</v>
      </c>
      <c r="B42" s="21" t="str">
        <f>IF(PRENDAS!$B20="","",PRENDAS!$B20)</f>
        <v>THIAGO R.</v>
      </c>
      <c r="C42" s="21" t="str">
        <f>IF(PRENDAS!$B20="","",PRENDAS!$D20)</f>
        <v>Camiseta sola</v>
      </c>
      <c r="D42" s="30" t="str">
        <f>IF(PRENDAS!$B20="","",PRENDAS!$E20)</f>
        <v>14</v>
      </c>
      <c r="E42" s="30" t="str">
        <f>IF(PRENDAS!$B20="","",PRENDAS!$F20)</f>
        <v>8</v>
      </c>
      <c r="F42" s="21" t="str">
        <f>IF(PRENDAS!$B20="","",PRENDAS!$G20)</f>
        <v>Blanco hueso</v>
      </c>
      <c r="G42" s="21" t="str">
        <f>IF(PRENDAS!$B20="","",PRENDAS!$H20)</f>
        <v>Niño</v>
      </c>
      <c r="H42" s="21" t="str">
        <f>IF(PRENDAS!$B20="","",PRENDAS!$I20)</f>
        <v>Recto</v>
      </c>
      <c r="I42" s="21" t="str">
        <f>IF(PRENDAS!$B20="","",PRENDAS!$J20)</f>
        <v>Redondo</v>
      </c>
      <c r="J42" s="21" t="str">
        <f>IF(PRENDAS!$B20="","",PRENDAS!$P20)</f>
        <v/>
      </c>
    </row>
    <row r="43" ht="15.0" customHeight="1">
      <c r="A43" s="30">
        <f>IF(PRENDAS!$B21="","",PRENDAS!$A21)</f>
        <v>19</v>
      </c>
      <c r="B43" s="21" t="str">
        <f>IF(PRENDAS!$B21="","",PRENDAS!$B21)</f>
        <v>AMPARO</v>
      </c>
      <c r="C43" s="21" t="str">
        <f>IF(PRENDAS!$B21="","",PRENDAS!$D21)</f>
        <v>Camiseta sola</v>
      </c>
      <c r="D43" s="30" t="str">
        <f>IF(PRENDAS!$B21="","",PRENDAS!$E21)</f>
        <v>S</v>
      </c>
      <c r="E43" s="30" t="str">
        <f>IF(PRENDAS!$B21="","",PRENDAS!$F21)</f>
        <v>4</v>
      </c>
      <c r="F43" s="21" t="str">
        <f>IF(PRENDAS!$B21="","",PRENDAS!$G21)</f>
        <v>Blanco hueso</v>
      </c>
      <c r="G43" s="21" t="str">
        <f>IF(PRENDAS!$B21="","",PRENDAS!$H21)</f>
        <v>Mujer</v>
      </c>
      <c r="H43" s="21" t="str">
        <f>IF(PRENDAS!$B21="","",PRENDAS!$I21)</f>
        <v>Entallado</v>
      </c>
      <c r="I43" s="21" t="str">
        <f>IF(PRENDAS!$B21="","",PRENDAS!$J21)</f>
        <v>Redondo</v>
      </c>
      <c r="J43" s="21" t="str">
        <f>IF(PRENDAS!$B21="","",PRENDAS!$P21)</f>
        <v/>
      </c>
    </row>
    <row r="44" ht="15.0" customHeight="1">
      <c r="A44" s="30">
        <f>IF(PRENDAS!$B22="","",PRENDAS!$A22)</f>
        <v>20</v>
      </c>
      <c r="B44" s="21" t="str">
        <f>IF(PRENDAS!$B22="","",PRENDAS!$B22)</f>
        <v>TOGUE</v>
      </c>
      <c r="C44" s="21" t="str">
        <f>IF(PRENDAS!$B22="","",PRENDAS!$D22)</f>
        <v>Camiseta sola</v>
      </c>
      <c r="D44" s="30" t="str">
        <f>IF(PRENDAS!$B22="","",PRENDAS!$E22)</f>
        <v>S</v>
      </c>
      <c r="E44" s="30" t="str">
        <f>IF(PRENDAS!$B22="","",PRENDAS!$F22)</f>
        <v>8</v>
      </c>
      <c r="F44" s="21" t="str">
        <f>IF(PRENDAS!$B22="","",PRENDAS!$G22)</f>
        <v>Blanco hueso</v>
      </c>
      <c r="G44" s="21" t="str">
        <f>IF(PRENDAS!$B22="","",PRENDAS!$H22)</f>
        <v>Hombre</v>
      </c>
      <c r="H44" s="21" t="str">
        <f>IF(PRENDAS!$B22="","",PRENDAS!$I22)</f>
        <v>Recto</v>
      </c>
      <c r="I44" s="21" t="str">
        <f>IF(PRENDAS!$B22="","",PRENDAS!$J22)</f>
        <v>Redondo</v>
      </c>
      <c r="J44" s="21" t="str">
        <f>IF(PRENDAS!$B22="","",PRENDAS!$P22)</f>
        <v/>
      </c>
    </row>
    <row r="45" ht="15.0" customHeight="1">
      <c r="A45" s="30">
        <f>IF(PRENDAS!$B23="","",PRENDAS!$A23)</f>
        <v>21</v>
      </c>
      <c r="B45" s="21" t="str">
        <f>IF(PRENDAS!$B23="","",PRENDAS!$B23)</f>
        <v>MIRTHA</v>
      </c>
      <c r="C45" s="21" t="str">
        <f>IF(PRENDAS!$B23="","",PRENDAS!$D23)</f>
        <v>Camiseta sola</v>
      </c>
      <c r="D45" s="30" t="str">
        <f>IF(PRENDAS!$B23="","",PRENDAS!$E23)</f>
        <v>S</v>
      </c>
      <c r="E45" s="30" t="str">
        <f>IF(PRENDAS!$B23="","",PRENDAS!$F23)</f>
        <v>23</v>
      </c>
      <c r="F45" s="21" t="str">
        <f>IF(PRENDAS!$B23="","",PRENDAS!$G23)</f>
        <v>Blanco hueso</v>
      </c>
      <c r="G45" s="21" t="str">
        <f>IF(PRENDAS!$B23="","",PRENDAS!$H23)</f>
        <v>Mujer</v>
      </c>
      <c r="H45" s="21" t="str">
        <f>IF(PRENDAS!$B23="","",PRENDAS!$I23)</f>
        <v>Entallado</v>
      </c>
      <c r="I45" s="21" t="str">
        <f>IF(PRENDAS!$B23="","",PRENDAS!$J23)</f>
        <v>Redondo</v>
      </c>
      <c r="J45" s="21" t="str">
        <f>IF(PRENDAS!$B23="","",PRENDAS!$P23)</f>
        <v/>
      </c>
    </row>
    <row r="46" ht="15.0" customHeight="1">
      <c r="A46" s="30">
        <f>IF(PRENDAS!$B24="","",PRENDAS!$A24)</f>
        <v>22</v>
      </c>
      <c r="B46" s="21" t="str">
        <f>IF(PRENDAS!$B24="","",PRENDAS!$B24)</f>
        <v>ANA LI</v>
      </c>
      <c r="C46" s="21" t="str">
        <f>IF(PRENDAS!$B24="","",PRENDAS!$D24)</f>
        <v>Camiseta sola</v>
      </c>
      <c r="D46" s="30" t="str">
        <f>IF(PRENDAS!$B24="","",PRENDAS!$E24)</f>
        <v>M</v>
      </c>
      <c r="E46" s="30" t="str">
        <f>IF(PRENDAS!$B24="","",PRENDAS!$F24)</f>
        <v>11</v>
      </c>
      <c r="F46" s="21" t="str">
        <f>IF(PRENDAS!$B24="","",PRENDAS!$G24)</f>
        <v>Blanco hueso</v>
      </c>
      <c r="G46" s="21" t="str">
        <f>IF(PRENDAS!$B24="","",PRENDAS!$H24)</f>
        <v>Mujer</v>
      </c>
      <c r="H46" s="21" t="str">
        <f>IF(PRENDAS!$B24="","",PRENDAS!$I24)</f>
        <v>Entallado</v>
      </c>
      <c r="I46" s="21" t="str">
        <f>IF(PRENDAS!$B24="","",PRENDAS!$J24)</f>
        <v>Redondo</v>
      </c>
      <c r="J46" s="21" t="str">
        <f>IF(PRENDAS!$B24="","",PRENDAS!$P24)</f>
        <v/>
      </c>
    </row>
    <row r="47" ht="15.0" customHeight="1">
      <c r="A47" s="30">
        <f>IF(PRENDAS!$B25="","",PRENDAS!$A25)</f>
        <v>23</v>
      </c>
      <c r="B47" s="21" t="str">
        <f>IF(PRENDAS!$B25="","",PRENDAS!$B25)</f>
        <v>LOCONI</v>
      </c>
      <c r="C47" s="21" t="str">
        <f>IF(PRENDAS!$B25="","",PRENDAS!$D25)</f>
        <v>Camiseta sola</v>
      </c>
      <c r="D47" s="30" t="str">
        <f>IF(PRENDAS!$B25="","",PRENDAS!$E25)</f>
        <v>M</v>
      </c>
      <c r="E47" s="30" t="str">
        <f>IF(PRENDAS!$B25="","",PRENDAS!$F25)</f>
        <v>98</v>
      </c>
      <c r="F47" s="21" t="str">
        <f>IF(PRENDAS!$B25="","",PRENDAS!$G25)</f>
        <v>Blanco hueso</v>
      </c>
      <c r="G47" s="21" t="str">
        <f>IF(PRENDAS!$B25="","",PRENDAS!$H25)</f>
        <v>Hombre</v>
      </c>
      <c r="H47" s="21" t="str">
        <f>IF(PRENDAS!$B25="","",PRENDAS!$I25)</f>
        <v>Recto</v>
      </c>
      <c r="I47" s="21" t="str">
        <f>IF(PRENDAS!$B25="","",PRENDAS!$J25)</f>
        <v>Redondo</v>
      </c>
      <c r="J47" s="21" t="str">
        <f>IF(PRENDAS!$B25="","",PRENDAS!$P25)</f>
        <v/>
      </c>
    </row>
    <row r="48" ht="15.0" customHeight="1">
      <c r="A48" s="30">
        <f>IF(PRENDAS!$B26="","",PRENDAS!$A26)</f>
        <v>24</v>
      </c>
      <c r="B48" s="21" t="str">
        <f>IF(PRENDAS!$B26="","",PRENDAS!$B26)</f>
        <v>HADA</v>
      </c>
      <c r="C48" s="21" t="str">
        <f>IF(PRENDAS!$B26="","",PRENDAS!$D26)</f>
        <v>Camiseta sola</v>
      </c>
      <c r="D48" s="30" t="str">
        <f>IF(PRENDAS!$B26="","",PRENDAS!$E26)</f>
        <v>M</v>
      </c>
      <c r="E48" s="30" t="str">
        <f>IF(PRENDAS!$B26="","",PRENDAS!$F26)</f>
        <v>8</v>
      </c>
      <c r="F48" s="21" t="str">
        <f>IF(PRENDAS!$B26="","",PRENDAS!$G26)</f>
        <v>Blanco hueso</v>
      </c>
      <c r="G48" s="21" t="str">
        <f>IF(PRENDAS!$B26="","",PRENDAS!$H26)</f>
        <v>Mujer</v>
      </c>
      <c r="H48" s="21" t="str">
        <f>IF(PRENDAS!$B26="","",PRENDAS!$I26)</f>
        <v>Entallado</v>
      </c>
      <c r="I48" s="21" t="str">
        <f>IF(PRENDAS!$B26="","",PRENDAS!$J26)</f>
        <v>Redondo</v>
      </c>
      <c r="J48" s="21" t="str">
        <f>IF(PRENDAS!$B26="","",PRENDAS!$P26)</f>
        <v/>
      </c>
    </row>
    <row r="49" ht="15.0" customHeight="1">
      <c r="A49" s="30">
        <f>IF(PRENDAS!$B27="","",PRENDAS!$A27)</f>
        <v>25</v>
      </c>
      <c r="B49" s="21" t="str">
        <f>IF(PRENDAS!$B27="","",PRENDAS!$B27)</f>
        <v>PATRICIA A.</v>
      </c>
      <c r="C49" s="21" t="str">
        <f>IF(PRENDAS!$B27="","",PRENDAS!$D27)</f>
        <v>Camiseta sola</v>
      </c>
      <c r="D49" s="30" t="str">
        <f>IF(PRENDAS!$B27="","",PRENDAS!$E27)</f>
        <v>M</v>
      </c>
      <c r="E49" s="30" t="str">
        <f>IF(PRENDAS!$B27="","",PRENDAS!$F27)</f>
        <v>10</v>
      </c>
      <c r="F49" s="21" t="str">
        <f>IF(PRENDAS!$B27="","",PRENDAS!$G27)</f>
        <v>Blanco hueso</v>
      </c>
      <c r="G49" s="21" t="str">
        <f>IF(PRENDAS!$B27="","",PRENDAS!$H27)</f>
        <v>Mujer</v>
      </c>
      <c r="H49" s="21" t="str">
        <f>IF(PRENDAS!$B27="","",PRENDAS!$I27)</f>
        <v>Entallado</v>
      </c>
      <c r="I49" s="21" t="str">
        <f>IF(PRENDAS!$B27="","",PRENDAS!$J27)</f>
        <v>Redondo</v>
      </c>
      <c r="J49" s="21" t="str">
        <f>IF(PRENDAS!$B27="","",PRENDAS!$P27)</f>
        <v/>
      </c>
    </row>
    <row r="50" ht="15.0" customHeight="1">
      <c r="A50" s="30">
        <f>IF(PRENDAS!$B28="","",PRENDAS!$A28)</f>
        <v>26</v>
      </c>
      <c r="B50" s="21" t="str">
        <f>IF(PRENDAS!$B28="","",PRENDAS!$B28)</f>
        <v>CYNTHIA</v>
      </c>
      <c r="C50" s="21" t="str">
        <f>IF(PRENDAS!$B28="","",PRENDAS!$D28)</f>
        <v>Camiseta sola</v>
      </c>
      <c r="D50" s="30" t="str">
        <f>IF(PRENDAS!$B28="","",PRENDAS!$E28)</f>
        <v>L</v>
      </c>
      <c r="E50" s="30" t="str">
        <f>IF(PRENDAS!$B28="","",PRENDAS!$F28)</f>
        <v>25</v>
      </c>
      <c r="F50" s="21" t="str">
        <f>IF(PRENDAS!$B28="","",PRENDAS!$G28)</f>
        <v>Blanco hueso</v>
      </c>
      <c r="G50" s="21" t="str">
        <f>IF(PRENDAS!$B28="","",PRENDAS!$H28)</f>
        <v>Mujer</v>
      </c>
      <c r="H50" s="21" t="str">
        <f>IF(PRENDAS!$B28="","",PRENDAS!$I28)</f>
        <v>Entallado</v>
      </c>
      <c r="I50" s="21" t="str">
        <f>IF(PRENDAS!$B28="","",PRENDAS!$J28)</f>
        <v>Redondo</v>
      </c>
      <c r="J50" s="21" t="str">
        <f>IF(PRENDAS!$B28="","",PRENDAS!$P28)</f>
        <v/>
      </c>
    </row>
    <row r="51" ht="15.0" customHeight="1">
      <c r="A51" s="30">
        <f>IF(PRENDAS!$B29="","",PRENDAS!$A29)</f>
        <v>27</v>
      </c>
      <c r="B51" s="21" t="str">
        <f>IF(PRENDAS!$B29="","",PRENDAS!$B29)</f>
        <v>TAPIA</v>
      </c>
      <c r="C51" s="21" t="str">
        <f>IF(PRENDAS!$B29="","",PRENDAS!$D29)</f>
        <v>Kit completo</v>
      </c>
      <c r="D51" s="30" t="str">
        <f>IF(PRENDAS!$B29="","",PRENDAS!$E29)</f>
        <v>L</v>
      </c>
      <c r="E51" s="30" t="str">
        <f>IF(PRENDAS!$B29="","",PRENDAS!$F29)</f>
        <v>23</v>
      </c>
      <c r="F51" s="21" t="str">
        <f>IF(PRENDAS!$B29="","",PRENDAS!$G29)</f>
        <v>Azul</v>
      </c>
      <c r="G51" s="21" t="str">
        <f>IF(PRENDAS!$B29="","",PRENDAS!$H29)</f>
        <v>Hombre</v>
      </c>
      <c r="H51" s="21" t="str">
        <f>IF(PRENDAS!$B29="","",PRENDAS!$I29)</f>
        <v>Recto</v>
      </c>
      <c r="I51" s="21" t="str">
        <f>IF(PRENDAS!$B29="","",PRENDAS!$J29)</f>
        <v>Redondo</v>
      </c>
      <c r="J51" s="21" t="str">
        <f>IF(PRENDAS!$B29="","",PRENDAS!$P29)</f>
        <v/>
      </c>
    </row>
    <row r="52" ht="15.0" customHeight="1">
      <c r="A52" s="30">
        <f>IF(PRENDAS!$B30="","",PRENDAS!$A30)</f>
        <v>28</v>
      </c>
      <c r="B52" s="21" t="str">
        <f>IF(PRENDAS!$B30="","",PRENDAS!$B30)</f>
        <v>CLINT</v>
      </c>
      <c r="C52" s="21" t="str">
        <f>IF(PRENDAS!$B30="","",PRENDAS!$D30)</f>
        <v>Camiseta sola</v>
      </c>
      <c r="D52" s="30" t="str">
        <f>IF(PRENDAS!$B30="","",PRENDAS!$E30)</f>
        <v>XL</v>
      </c>
      <c r="E52" s="30" t="str">
        <f>IF(PRENDAS!$B30="","",PRENDAS!$F30)</f>
        <v>69</v>
      </c>
      <c r="F52" s="21" t="str">
        <f>IF(PRENDAS!$B30="","",PRENDAS!$G30)</f>
        <v>Azul</v>
      </c>
      <c r="G52" s="21" t="str">
        <f>IF(PRENDAS!$B30="","",PRENDAS!$H30)</f>
        <v>Hombre</v>
      </c>
      <c r="H52" s="21" t="str">
        <f>IF(PRENDAS!$B30="","",PRENDAS!$I30)</f>
        <v>Recto</v>
      </c>
      <c r="I52" s="21" t="str">
        <f>IF(PRENDAS!$B30="","",PRENDAS!$J30)</f>
        <v>Redondo</v>
      </c>
      <c r="J52" s="21" t="str">
        <f>IF(PRENDAS!$B30="","",PRENDAS!$P30)</f>
        <v>Nombres de los hijos en las mangas; nombre de la esposa en el cuello delantero</v>
      </c>
    </row>
    <row r="53" ht="15.0" customHeight="1">
      <c r="A53" s="30" t="str">
        <f>IF(PRENDAS!$B31="","",PRENDAS!$A31)</f>
        <v/>
      </c>
      <c r="B53" s="21" t="str">
        <f>IF(PRENDAS!$B31="","",PRENDAS!$B31)</f>
        <v/>
      </c>
      <c r="C53" s="21" t="str">
        <f>IF(PRENDAS!$B31="","",PRENDAS!$D31)</f>
        <v/>
      </c>
      <c r="D53" s="30" t="str">
        <f>IF(PRENDAS!$B31="","",PRENDAS!$E31)</f>
        <v/>
      </c>
      <c r="E53" s="30" t="str">
        <f>IF(PRENDAS!$B31="","",PRENDAS!$F31)</f>
        <v/>
      </c>
      <c r="F53" s="21" t="str">
        <f>IF(PRENDAS!$B31="","",PRENDAS!$G31)</f>
        <v/>
      </c>
      <c r="G53" s="21" t="str">
        <f>IF(PRENDAS!$B31="","",PRENDAS!$H31)</f>
        <v/>
      </c>
      <c r="H53" s="21" t="str">
        <f>IF(PRENDAS!$B31="","",PRENDAS!$I31)</f>
        <v/>
      </c>
      <c r="I53" s="21" t="str">
        <f>IF(PRENDAS!$B31="","",PRENDAS!$J31)</f>
        <v/>
      </c>
      <c r="J53" s="21" t="str">
        <f>IF(PRENDAS!$B31="","",PRENDAS!$P31)</f>
        <v/>
      </c>
    </row>
    <row r="54" ht="15.0" customHeight="1">
      <c r="A54" s="30" t="str">
        <f>IF(PRENDAS!$B32="","",PRENDAS!$A32)</f>
        <v/>
      </c>
      <c r="B54" s="21" t="str">
        <f>IF(PRENDAS!$B32="","",PRENDAS!$B32)</f>
        <v/>
      </c>
      <c r="C54" s="21" t="str">
        <f>IF(PRENDAS!$B32="","",PRENDAS!$D32)</f>
        <v/>
      </c>
      <c r="D54" s="30" t="str">
        <f>IF(PRENDAS!$B32="","",PRENDAS!$E32)</f>
        <v/>
      </c>
      <c r="E54" s="30" t="str">
        <f>IF(PRENDAS!$B32="","",PRENDAS!$F32)</f>
        <v/>
      </c>
      <c r="F54" s="21" t="str">
        <f>IF(PRENDAS!$B32="","",PRENDAS!$G32)</f>
        <v/>
      </c>
      <c r="G54" s="21" t="str">
        <f>IF(PRENDAS!$B32="","",PRENDAS!$H32)</f>
        <v/>
      </c>
      <c r="H54" s="21" t="str">
        <f>IF(PRENDAS!$B32="","",PRENDAS!$I32)</f>
        <v/>
      </c>
      <c r="I54" s="21" t="str">
        <f>IF(PRENDAS!$B32="","",PRENDAS!$J32)</f>
        <v/>
      </c>
      <c r="J54" s="21" t="str">
        <f>IF(PRENDAS!$B32="","",PRENDAS!$P32)</f>
        <v/>
      </c>
    </row>
    <row r="55" ht="15.0" customHeight="1">
      <c r="A55" s="30" t="str">
        <f>IF(PRENDAS!$B33="","",PRENDAS!$A33)</f>
        <v/>
      </c>
      <c r="B55" s="21" t="str">
        <f>IF(PRENDAS!$B33="","",PRENDAS!$B33)</f>
        <v/>
      </c>
      <c r="C55" s="21" t="str">
        <f>IF(PRENDAS!$B33="","",PRENDAS!$D33)</f>
        <v/>
      </c>
      <c r="D55" s="30" t="str">
        <f>IF(PRENDAS!$B33="","",PRENDAS!$E33)</f>
        <v/>
      </c>
      <c r="E55" s="30" t="str">
        <f>IF(PRENDAS!$B33="","",PRENDAS!$F33)</f>
        <v/>
      </c>
      <c r="F55" s="21" t="str">
        <f>IF(PRENDAS!$B33="","",PRENDAS!$G33)</f>
        <v/>
      </c>
      <c r="G55" s="21" t="str">
        <f>IF(PRENDAS!$B33="","",PRENDAS!$H33)</f>
        <v/>
      </c>
      <c r="H55" s="21" t="str">
        <f>IF(PRENDAS!$B33="","",PRENDAS!$I33)</f>
        <v/>
      </c>
      <c r="I55" s="21" t="str">
        <f>IF(PRENDAS!$B33="","",PRENDAS!$J33)</f>
        <v/>
      </c>
      <c r="J55" s="21" t="str">
        <f>IF(PRENDAS!$B33="","",PRENDAS!$P33)</f>
        <v/>
      </c>
    </row>
    <row r="56" ht="15.0" customHeight="1">
      <c r="A56" s="30" t="str">
        <f>IF(PRENDAS!$B34="","",PRENDAS!$A34)</f>
        <v/>
      </c>
      <c r="B56" s="21" t="str">
        <f>IF(PRENDAS!$B34="","",PRENDAS!$B34)</f>
        <v/>
      </c>
      <c r="C56" s="21" t="str">
        <f>IF(PRENDAS!$B34="","",PRENDAS!$D34)</f>
        <v/>
      </c>
      <c r="D56" s="30" t="str">
        <f>IF(PRENDAS!$B34="","",PRENDAS!$E34)</f>
        <v/>
      </c>
      <c r="E56" s="30" t="str">
        <f>IF(PRENDAS!$B34="","",PRENDAS!$F34)</f>
        <v/>
      </c>
      <c r="F56" s="21" t="str">
        <f>IF(PRENDAS!$B34="","",PRENDAS!$G34)</f>
        <v/>
      </c>
      <c r="G56" s="21" t="str">
        <f>IF(PRENDAS!$B34="","",PRENDAS!$H34)</f>
        <v/>
      </c>
      <c r="H56" s="21" t="str">
        <f>IF(PRENDAS!$B34="","",PRENDAS!$I34)</f>
        <v/>
      </c>
      <c r="I56" s="21" t="str">
        <f>IF(PRENDAS!$B34="","",PRENDAS!$J34)</f>
        <v/>
      </c>
      <c r="J56" s="21" t="str">
        <f>IF(PRENDAS!$B34="","",PRENDAS!$P34)</f>
        <v/>
      </c>
    </row>
    <row r="57" ht="15.0" customHeight="1">
      <c r="A57" s="30" t="str">
        <f>IF(PRENDAS!$B35="","",PRENDAS!$A35)</f>
        <v/>
      </c>
      <c r="B57" s="21" t="str">
        <f>IF(PRENDAS!$B35="","",PRENDAS!$B35)</f>
        <v/>
      </c>
      <c r="C57" s="21" t="str">
        <f>IF(PRENDAS!$B35="","",PRENDAS!$D35)</f>
        <v/>
      </c>
      <c r="D57" s="30" t="str">
        <f>IF(PRENDAS!$B35="","",PRENDAS!$E35)</f>
        <v/>
      </c>
      <c r="E57" s="30" t="str">
        <f>IF(PRENDAS!$B35="","",PRENDAS!$F35)</f>
        <v/>
      </c>
      <c r="F57" s="21" t="str">
        <f>IF(PRENDAS!$B35="","",PRENDAS!$G35)</f>
        <v/>
      </c>
      <c r="G57" s="21" t="str">
        <f>IF(PRENDAS!$B35="","",PRENDAS!$H35)</f>
        <v/>
      </c>
      <c r="H57" s="21" t="str">
        <f>IF(PRENDAS!$B35="","",PRENDAS!$I35)</f>
        <v/>
      </c>
      <c r="I57" s="21" t="str">
        <f>IF(PRENDAS!$B35="","",PRENDAS!$J35)</f>
        <v/>
      </c>
      <c r="J57" s="21" t="str">
        <f>IF(PRENDAS!$B35="","",PRENDAS!$P35)</f>
        <v/>
      </c>
    </row>
    <row r="58" ht="15.0" customHeight="1">
      <c r="A58" s="30" t="str">
        <f>IF(PRENDAS!$B36="","",PRENDAS!$A36)</f>
        <v/>
      </c>
      <c r="B58" s="21" t="str">
        <f>IF(PRENDAS!$B36="","",PRENDAS!$B36)</f>
        <v/>
      </c>
      <c r="C58" s="21" t="str">
        <f>IF(PRENDAS!$B36="","",PRENDAS!$D36)</f>
        <v/>
      </c>
      <c r="D58" s="30" t="str">
        <f>IF(PRENDAS!$B36="","",PRENDAS!$E36)</f>
        <v/>
      </c>
      <c r="E58" s="30" t="str">
        <f>IF(PRENDAS!$B36="","",PRENDAS!$F36)</f>
        <v/>
      </c>
      <c r="F58" s="21" t="str">
        <f>IF(PRENDAS!$B36="","",PRENDAS!$G36)</f>
        <v/>
      </c>
      <c r="G58" s="21" t="str">
        <f>IF(PRENDAS!$B36="","",PRENDAS!$H36)</f>
        <v/>
      </c>
      <c r="H58" s="21" t="str">
        <f>IF(PRENDAS!$B36="","",PRENDAS!$I36)</f>
        <v/>
      </c>
      <c r="I58" s="21" t="str">
        <f>IF(PRENDAS!$B36="","",PRENDAS!$J36)</f>
        <v/>
      </c>
      <c r="J58" s="21" t="str">
        <f>IF(PRENDAS!$B36="","",PRENDAS!$P36)</f>
        <v/>
      </c>
    </row>
    <row r="59" ht="15.0" customHeight="1">
      <c r="A59" s="30" t="str">
        <f>IF(PRENDAS!$B37="","",PRENDAS!$A37)</f>
        <v/>
      </c>
      <c r="B59" s="21" t="str">
        <f>IF(PRENDAS!$B37="","",PRENDAS!$B37)</f>
        <v/>
      </c>
      <c r="C59" s="21" t="str">
        <f>IF(PRENDAS!$B37="","",PRENDAS!$D37)</f>
        <v/>
      </c>
      <c r="D59" s="30" t="str">
        <f>IF(PRENDAS!$B37="","",PRENDAS!$E37)</f>
        <v/>
      </c>
      <c r="E59" s="30" t="str">
        <f>IF(PRENDAS!$B37="","",PRENDAS!$F37)</f>
        <v/>
      </c>
      <c r="F59" s="21" t="str">
        <f>IF(PRENDAS!$B37="","",PRENDAS!$G37)</f>
        <v/>
      </c>
      <c r="G59" s="21" t="str">
        <f>IF(PRENDAS!$B37="","",PRENDAS!$H37)</f>
        <v/>
      </c>
      <c r="H59" s="21" t="str">
        <f>IF(PRENDAS!$B37="","",PRENDAS!$I37)</f>
        <v/>
      </c>
      <c r="I59" s="21" t="str">
        <f>IF(PRENDAS!$B37="","",PRENDAS!$J37)</f>
        <v/>
      </c>
      <c r="J59" s="21" t="str">
        <f>IF(PRENDAS!$B37="","",PRENDAS!$P37)</f>
        <v/>
      </c>
    </row>
    <row r="60" ht="15.0" customHeight="1">
      <c r="A60" s="30" t="str">
        <f>IF(PRENDAS!$B38="","",PRENDAS!$A38)</f>
        <v/>
      </c>
      <c r="B60" s="21" t="str">
        <f>IF(PRENDAS!$B38="","",PRENDAS!$B38)</f>
        <v/>
      </c>
      <c r="C60" s="21" t="str">
        <f>IF(PRENDAS!$B38="","",PRENDAS!$D38)</f>
        <v/>
      </c>
      <c r="D60" s="30" t="str">
        <f>IF(PRENDAS!$B38="","",PRENDAS!$E38)</f>
        <v/>
      </c>
      <c r="E60" s="30" t="str">
        <f>IF(PRENDAS!$B38="","",PRENDAS!$F38)</f>
        <v/>
      </c>
      <c r="F60" s="21" t="str">
        <f>IF(PRENDAS!$B38="","",PRENDAS!$G38)</f>
        <v/>
      </c>
      <c r="G60" s="21" t="str">
        <f>IF(PRENDAS!$B38="","",PRENDAS!$H38)</f>
        <v/>
      </c>
      <c r="H60" s="21" t="str">
        <f>IF(PRENDAS!$B38="","",PRENDAS!$I38)</f>
        <v/>
      </c>
      <c r="I60" s="21" t="str">
        <f>IF(PRENDAS!$B38="","",PRENDAS!$J38)</f>
        <v/>
      </c>
      <c r="J60" s="21" t="str">
        <f>IF(PRENDAS!$B38="","",PRENDAS!$P38)</f>
        <v/>
      </c>
    </row>
    <row r="61" ht="15.0" customHeight="1">
      <c r="A61" s="30" t="str">
        <f>IF(PRENDAS!$B39="","",PRENDAS!$A39)</f>
        <v/>
      </c>
      <c r="B61" s="21" t="str">
        <f>IF(PRENDAS!$B39="","",PRENDAS!$B39)</f>
        <v/>
      </c>
      <c r="C61" s="21" t="str">
        <f>IF(PRENDAS!$B39="","",PRENDAS!$D39)</f>
        <v/>
      </c>
      <c r="D61" s="30" t="str">
        <f>IF(PRENDAS!$B39="","",PRENDAS!$E39)</f>
        <v/>
      </c>
      <c r="E61" s="30" t="str">
        <f>IF(PRENDAS!$B39="","",PRENDAS!$F39)</f>
        <v/>
      </c>
      <c r="F61" s="21" t="str">
        <f>IF(PRENDAS!$B39="","",PRENDAS!$G39)</f>
        <v/>
      </c>
      <c r="G61" s="21" t="str">
        <f>IF(PRENDAS!$B39="","",PRENDAS!$H39)</f>
        <v/>
      </c>
      <c r="H61" s="21" t="str">
        <f>IF(PRENDAS!$B39="","",PRENDAS!$I39)</f>
        <v/>
      </c>
      <c r="I61" s="21" t="str">
        <f>IF(PRENDAS!$B39="","",PRENDAS!$J39)</f>
        <v/>
      </c>
      <c r="J61" s="21" t="str">
        <f>IF(PRENDAS!$B39="","",PRENDAS!$P39)</f>
        <v/>
      </c>
    </row>
    <row r="62" ht="15.0" customHeight="1">
      <c r="A62" s="30" t="str">
        <f>IF(PRENDAS!$B40="","",PRENDAS!$A40)</f>
        <v/>
      </c>
      <c r="B62" s="21" t="str">
        <f>IF(PRENDAS!$B40="","",PRENDAS!$B40)</f>
        <v/>
      </c>
      <c r="C62" s="21" t="str">
        <f>IF(PRENDAS!$B40="","",PRENDAS!$D40)</f>
        <v/>
      </c>
      <c r="D62" s="30" t="str">
        <f>IF(PRENDAS!$B40="","",PRENDAS!$E40)</f>
        <v/>
      </c>
      <c r="E62" s="30" t="str">
        <f>IF(PRENDAS!$B40="","",PRENDAS!$F40)</f>
        <v/>
      </c>
      <c r="F62" s="21" t="str">
        <f>IF(PRENDAS!$B40="","",PRENDAS!$G40)</f>
        <v/>
      </c>
      <c r="G62" s="21" t="str">
        <f>IF(PRENDAS!$B40="","",PRENDAS!$H40)</f>
        <v/>
      </c>
      <c r="H62" s="21" t="str">
        <f>IF(PRENDAS!$B40="","",PRENDAS!$I40)</f>
        <v/>
      </c>
      <c r="I62" s="21" t="str">
        <f>IF(PRENDAS!$B40="","",PRENDAS!$J40)</f>
        <v/>
      </c>
      <c r="J62" s="21" t="str">
        <f>IF(PRENDAS!$B40="","",PRENDAS!$P40)</f>
        <v/>
      </c>
    </row>
    <row r="63" ht="15.0" customHeight="1">
      <c r="A63" s="30" t="str">
        <f>IF(PRENDAS!$B41="","",PRENDAS!$A41)</f>
        <v/>
      </c>
      <c r="B63" s="21" t="str">
        <f>IF(PRENDAS!$B41="","",PRENDAS!$B41)</f>
        <v/>
      </c>
      <c r="C63" s="21" t="str">
        <f>IF(PRENDAS!$B41="","",PRENDAS!$D41)</f>
        <v/>
      </c>
      <c r="D63" s="30" t="str">
        <f>IF(PRENDAS!$B41="","",PRENDAS!$E41)</f>
        <v/>
      </c>
      <c r="E63" s="30" t="str">
        <f>IF(PRENDAS!$B41="","",PRENDAS!$F41)</f>
        <v/>
      </c>
      <c r="F63" s="21" t="str">
        <f>IF(PRENDAS!$B41="","",PRENDAS!$G41)</f>
        <v/>
      </c>
      <c r="G63" s="21" t="str">
        <f>IF(PRENDAS!$B41="","",PRENDAS!$H41)</f>
        <v/>
      </c>
      <c r="H63" s="21" t="str">
        <f>IF(PRENDAS!$B41="","",PRENDAS!$I41)</f>
        <v/>
      </c>
      <c r="I63" s="21" t="str">
        <f>IF(PRENDAS!$B41="","",PRENDAS!$J41)</f>
        <v/>
      </c>
      <c r="J63" s="21" t="str">
        <f>IF(PRENDAS!$B41="","",PRENDAS!$P41)</f>
        <v/>
      </c>
    </row>
    <row r="64" ht="15.0" customHeight="1">
      <c r="A64" s="30" t="str">
        <f>IF(PRENDAS!$B42="","",PRENDAS!$A42)</f>
        <v/>
      </c>
      <c r="B64" s="21" t="str">
        <f>IF(PRENDAS!$B42="","",PRENDAS!$B42)</f>
        <v/>
      </c>
      <c r="C64" s="21" t="str">
        <f>IF(PRENDAS!$B42="","",PRENDAS!$D42)</f>
        <v/>
      </c>
      <c r="D64" s="30" t="str">
        <f>IF(PRENDAS!$B42="","",PRENDAS!$E42)</f>
        <v/>
      </c>
      <c r="E64" s="30" t="str">
        <f>IF(PRENDAS!$B42="","",PRENDAS!$F42)</f>
        <v/>
      </c>
      <c r="F64" s="21" t="str">
        <f>IF(PRENDAS!$B42="","",PRENDAS!$G42)</f>
        <v/>
      </c>
      <c r="G64" s="21" t="str">
        <f>IF(PRENDAS!$B42="","",PRENDAS!$H42)</f>
        <v/>
      </c>
      <c r="H64" s="21" t="str">
        <f>IF(PRENDAS!$B42="","",PRENDAS!$I42)</f>
        <v/>
      </c>
      <c r="I64" s="21" t="str">
        <f>IF(PRENDAS!$B42="","",PRENDAS!$J42)</f>
        <v/>
      </c>
      <c r="J64" s="21" t="str">
        <f>IF(PRENDAS!$B42="","",PRENDAS!$P42)</f>
        <v/>
      </c>
    </row>
    <row r="65" ht="15.0" customHeight="1">
      <c r="A65" s="30" t="str">
        <f>IF(PRENDAS!$B43="","",PRENDAS!$A43)</f>
        <v/>
      </c>
      <c r="B65" s="21" t="str">
        <f>IF(PRENDAS!$B43="","",PRENDAS!$B43)</f>
        <v/>
      </c>
      <c r="C65" s="21" t="str">
        <f>IF(PRENDAS!$B43="","",PRENDAS!$D43)</f>
        <v/>
      </c>
      <c r="D65" s="30" t="str">
        <f>IF(PRENDAS!$B43="","",PRENDAS!$E43)</f>
        <v/>
      </c>
      <c r="E65" s="30" t="str">
        <f>IF(PRENDAS!$B43="","",PRENDAS!$F43)</f>
        <v/>
      </c>
      <c r="F65" s="21" t="str">
        <f>IF(PRENDAS!$B43="","",PRENDAS!$G43)</f>
        <v/>
      </c>
      <c r="G65" s="21" t="str">
        <f>IF(PRENDAS!$B43="","",PRENDAS!$H43)</f>
        <v/>
      </c>
      <c r="H65" s="21" t="str">
        <f>IF(PRENDAS!$B43="","",PRENDAS!$I43)</f>
        <v/>
      </c>
      <c r="I65" s="21" t="str">
        <f>IF(PRENDAS!$B43="","",PRENDAS!$J43)</f>
        <v/>
      </c>
      <c r="J65" s="21" t="str">
        <f>IF(PRENDAS!$B43="","",PRENDAS!$P43)</f>
        <v/>
      </c>
    </row>
    <row r="66" ht="15.0" customHeight="1">
      <c r="A66" s="30" t="str">
        <f>IF(PRENDAS!$B44="","",PRENDAS!$A44)</f>
        <v/>
      </c>
      <c r="B66" s="21" t="str">
        <f>IF(PRENDAS!$B44="","",PRENDAS!$B44)</f>
        <v/>
      </c>
      <c r="C66" s="21" t="str">
        <f>IF(PRENDAS!$B44="","",PRENDAS!$D44)</f>
        <v/>
      </c>
      <c r="D66" s="30" t="str">
        <f>IF(PRENDAS!$B44="","",PRENDAS!$E44)</f>
        <v/>
      </c>
      <c r="E66" s="30" t="str">
        <f>IF(PRENDAS!$B44="","",PRENDAS!$F44)</f>
        <v/>
      </c>
      <c r="F66" s="21" t="str">
        <f>IF(PRENDAS!$B44="","",PRENDAS!$G44)</f>
        <v/>
      </c>
      <c r="G66" s="21" t="str">
        <f>IF(PRENDAS!$B44="","",PRENDAS!$H44)</f>
        <v/>
      </c>
      <c r="H66" s="21" t="str">
        <f>IF(PRENDAS!$B44="","",PRENDAS!$I44)</f>
        <v/>
      </c>
      <c r="I66" s="21" t="str">
        <f>IF(PRENDAS!$B44="","",PRENDAS!$J44)</f>
        <v/>
      </c>
      <c r="J66" s="21" t="str">
        <f>IF(PRENDAS!$B44="","",PRENDAS!$P44)</f>
        <v/>
      </c>
    </row>
    <row r="67" ht="15.0" customHeight="1">
      <c r="A67" s="30" t="str">
        <f>IF(PRENDAS!$B45="","",PRENDAS!$A45)</f>
        <v/>
      </c>
      <c r="B67" s="21" t="str">
        <f>IF(PRENDAS!$B45="","",PRENDAS!$B45)</f>
        <v/>
      </c>
      <c r="C67" s="21" t="str">
        <f>IF(PRENDAS!$B45="","",PRENDAS!$D45)</f>
        <v/>
      </c>
      <c r="D67" s="30" t="str">
        <f>IF(PRENDAS!$B45="","",PRENDAS!$E45)</f>
        <v/>
      </c>
      <c r="E67" s="30" t="str">
        <f>IF(PRENDAS!$B45="","",PRENDAS!$F45)</f>
        <v/>
      </c>
      <c r="F67" s="21" t="str">
        <f>IF(PRENDAS!$B45="","",PRENDAS!$G45)</f>
        <v/>
      </c>
      <c r="G67" s="21" t="str">
        <f>IF(PRENDAS!$B45="","",PRENDAS!$H45)</f>
        <v/>
      </c>
      <c r="H67" s="21" t="str">
        <f>IF(PRENDAS!$B45="","",PRENDAS!$I45)</f>
        <v/>
      </c>
      <c r="I67" s="21" t="str">
        <f>IF(PRENDAS!$B45="","",PRENDAS!$J45)</f>
        <v/>
      </c>
      <c r="J67" s="21" t="str">
        <f>IF(PRENDAS!$B45="","",PRENDAS!$P45)</f>
        <v/>
      </c>
    </row>
    <row r="68" ht="15.0" customHeight="1">
      <c r="A68" s="30" t="str">
        <f>IF(PRENDAS!$B46="","",PRENDAS!$A46)</f>
        <v/>
      </c>
      <c r="B68" s="21" t="str">
        <f>IF(PRENDAS!$B46="","",PRENDAS!$B46)</f>
        <v/>
      </c>
      <c r="C68" s="21" t="str">
        <f>IF(PRENDAS!$B46="","",PRENDAS!$D46)</f>
        <v/>
      </c>
      <c r="D68" s="30" t="str">
        <f>IF(PRENDAS!$B46="","",PRENDAS!$E46)</f>
        <v/>
      </c>
      <c r="E68" s="30" t="str">
        <f>IF(PRENDAS!$B46="","",PRENDAS!$F46)</f>
        <v/>
      </c>
      <c r="F68" s="21" t="str">
        <f>IF(PRENDAS!$B46="","",PRENDAS!$G46)</f>
        <v/>
      </c>
      <c r="G68" s="21" t="str">
        <f>IF(PRENDAS!$B46="","",PRENDAS!$H46)</f>
        <v/>
      </c>
      <c r="H68" s="21" t="str">
        <f>IF(PRENDAS!$B46="","",PRENDAS!$I46)</f>
        <v/>
      </c>
      <c r="I68" s="21" t="str">
        <f>IF(PRENDAS!$B46="","",PRENDAS!$J46)</f>
        <v/>
      </c>
      <c r="J68" s="21" t="str">
        <f>IF(PRENDAS!$B46="","",PRENDAS!$P46)</f>
        <v/>
      </c>
    </row>
    <row r="69" ht="15.0" customHeight="1">
      <c r="A69" s="30" t="str">
        <f>IF(PRENDAS!$B47="","",PRENDAS!$A47)</f>
        <v/>
      </c>
      <c r="B69" s="21" t="str">
        <f>IF(PRENDAS!$B47="","",PRENDAS!$B47)</f>
        <v/>
      </c>
      <c r="C69" s="21" t="str">
        <f>IF(PRENDAS!$B47="","",PRENDAS!$D47)</f>
        <v/>
      </c>
      <c r="D69" s="30" t="str">
        <f>IF(PRENDAS!$B47="","",PRENDAS!$E47)</f>
        <v/>
      </c>
      <c r="E69" s="30" t="str">
        <f>IF(PRENDAS!$B47="","",PRENDAS!$F47)</f>
        <v/>
      </c>
      <c r="F69" s="21" t="str">
        <f>IF(PRENDAS!$B47="","",PRENDAS!$G47)</f>
        <v/>
      </c>
      <c r="G69" s="21" t="str">
        <f>IF(PRENDAS!$B47="","",PRENDAS!$H47)</f>
        <v/>
      </c>
      <c r="H69" s="21" t="str">
        <f>IF(PRENDAS!$B47="","",PRENDAS!$I47)</f>
        <v/>
      </c>
      <c r="I69" s="21" t="str">
        <f>IF(PRENDAS!$B47="","",PRENDAS!$J47)</f>
        <v/>
      </c>
      <c r="J69" s="21" t="str">
        <f>IF(PRENDAS!$B47="","",PRENDAS!$P47)</f>
        <v/>
      </c>
    </row>
    <row r="70" ht="15.0" customHeight="1">
      <c r="A70" s="30" t="str">
        <f>IF(PRENDAS!$B48="","",PRENDAS!$A48)</f>
        <v/>
      </c>
      <c r="B70" s="21" t="str">
        <f>IF(PRENDAS!$B48="","",PRENDAS!$B48)</f>
        <v/>
      </c>
      <c r="C70" s="21" t="str">
        <f>IF(PRENDAS!$B48="","",PRENDAS!$D48)</f>
        <v/>
      </c>
      <c r="D70" s="30" t="str">
        <f>IF(PRENDAS!$B48="","",PRENDAS!$E48)</f>
        <v/>
      </c>
      <c r="E70" s="30" t="str">
        <f>IF(PRENDAS!$B48="","",PRENDAS!$F48)</f>
        <v/>
      </c>
      <c r="F70" s="21" t="str">
        <f>IF(PRENDAS!$B48="","",PRENDAS!$G48)</f>
        <v/>
      </c>
      <c r="G70" s="21" t="str">
        <f>IF(PRENDAS!$B48="","",PRENDAS!$H48)</f>
        <v/>
      </c>
      <c r="H70" s="21" t="str">
        <f>IF(PRENDAS!$B48="","",PRENDAS!$I48)</f>
        <v/>
      </c>
      <c r="I70" s="21" t="str">
        <f>IF(PRENDAS!$B48="","",PRENDAS!$J48)</f>
        <v/>
      </c>
      <c r="J70" s="21" t="str">
        <f>IF(PRENDAS!$B48="","",PRENDAS!$P48)</f>
        <v/>
      </c>
    </row>
    <row r="71" ht="15.0" customHeight="1">
      <c r="A71" s="30" t="str">
        <f>IF(PRENDAS!$B49="","",PRENDAS!$A49)</f>
        <v/>
      </c>
      <c r="B71" s="21" t="str">
        <f>IF(PRENDAS!$B49="","",PRENDAS!$B49)</f>
        <v/>
      </c>
      <c r="C71" s="21" t="str">
        <f>IF(PRENDAS!$B49="","",PRENDAS!$D49)</f>
        <v/>
      </c>
      <c r="D71" s="30" t="str">
        <f>IF(PRENDAS!$B49="","",PRENDAS!$E49)</f>
        <v/>
      </c>
      <c r="E71" s="30" t="str">
        <f>IF(PRENDAS!$B49="","",PRENDAS!$F49)</f>
        <v/>
      </c>
      <c r="F71" s="21" t="str">
        <f>IF(PRENDAS!$B49="","",PRENDAS!$G49)</f>
        <v/>
      </c>
      <c r="G71" s="21" t="str">
        <f>IF(PRENDAS!$B49="","",PRENDAS!$H49)</f>
        <v/>
      </c>
      <c r="H71" s="21" t="str">
        <f>IF(PRENDAS!$B49="","",PRENDAS!$I49)</f>
        <v/>
      </c>
      <c r="I71" s="21" t="str">
        <f>IF(PRENDAS!$B49="","",PRENDAS!$J49)</f>
        <v/>
      </c>
      <c r="J71" s="21" t="str">
        <f>IF(PRENDAS!$B49="","",PRENDAS!$P49)</f>
        <v/>
      </c>
    </row>
    <row r="72" ht="15.0" customHeight="1">
      <c r="A72" s="30" t="str">
        <f>IF(PRENDAS!$B50="","",PRENDAS!$A50)</f>
        <v/>
      </c>
      <c r="B72" s="21" t="str">
        <f>IF(PRENDAS!$B50="","",PRENDAS!$B50)</f>
        <v/>
      </c>
      <c r="C72" s="21" t="str">
        <f>IF(PRENDAS!$B50="","",PRENDAS!$D50)</f>
        <v/>
      </c>
      <c r="D72" s="30" t="str">
        <f>IF(PRENDAS!$B50="","",PRENDAS!$E50)</f>
        <v/>
      </c>
      <c r="E72" s="30" t="str">
        <f>IF(PRENDAS!$B50="","",PRENDAS!$F50)</f>
        <v/>
      </c>
      <c r="F72" s="21" t="str">
        <f>IF(PRENDAS!$B50="","",PRENDAS!$G50)</f>
        <v/>
      </c>
      <c r="G72" s="21" t="str">
        <f>IF(PRENDAS!$B50="","",PRENDAS!$H50)</f>
        <v/>
      </c>
      <c r="H72" s="21" t="str">
        <f>IF(PRENDAS!$B50="","",PRENDAS!$I50)</f>
        <v/>
      </c>
      <c r="I72" s="21" t="str">
        <f>IF(PRENDAS!$B50="","",PRENDAS!$J50)</f>
        <v/>
      </c>
      <c r="J72" s="21" t="str">
        <f>IF(PRENDAS!$B50="","",PRENDAS!$P50)</f>
        <v/>
      </c>
    </row>
    <row r="73" ht="15.0" customHeight="1">
      <c r="A73" s="30" t="str">
        <f>IF(PRENDAS!$B51="","",PRENDAS!$A51)</f>
        <v/>
      </c>
      <c r="B73" s="21" t="str">
        <f>IF(PRENDAS!$B51="","",PRENDAS!$B51)</f>
        <v/>
      </c>
      <c r="C73" s="21" t="str">
        <f>IF(PRENDAS!$B51="","",PRENDAS!$D51)</f>
        <v/>
      </c>
      <c r="D73" s="30" t="str">
        <f>IF(PRENDAS!$B51="","",PRENDAS!$E51)</f>
        <v/>
      </c>
      <c r="E73" s="30" t="str">
        <f>IF(PRENDAS!$B51="","",PRENDAS!$F51)</f>
        <v/>
      </c>
      <c r="F73" s="21" t="str">
        <f>IF(PRENDAS!$B51="","",PRENDAS!$G51)</f>
        <v/>
      </c>
      <c r="G73" s="21" t="str">
        <f>IF(PRENDAS!$B51="","",PRENDAS!$H51)</f>
        <v/>
      </c>
      <c r="H73" s="21" t="str">
        <f>IF(PRENDAS!$B51="","",PRENDAS!$I51)</f>
        <v/>
      </c>
      <c r="I73" s="21" t="str">
        <f>IF(PRENDAS!$B51="","",PRENDAS!$J51)</f>
        <v/>
      </c>
      <c r="J73" s="21" t="str">
        <f>IF(PRENDAS!$B51="","",PRENDAS!$P51)</f>
        <v/>
      </c>
    </row>
    <row r="74" ht="15.0" customHeight="1">
      <c r="A74" s="30" t="str">
        <f>IF(PRENDAS!$B52="","",PRENDAS!$A52)</f>
        <v/>
      </c>
      <c r="B74" s="21" t="str">
        <f>IF(PRENDAS!$B52="","",PRENDAS!$B52)</f>
        <v/>
      </c>
      <c r="C74" s="21" t="str">
        <f>IF(PRENDAS!$B52="","",PRENDAS!$D52)</f>
        <v/>
      </c>
      <c r="D74" s="30" t="str">
        <f>IF(PRENDAS!$B52="","",PRENDAS!$E52)</f>
        <v/>
      </c>
      <c r="E74" s="30" t="str">
        <f>IF(PRENDAS!$B52="","",PRENDAS!$F52)</f>
        <v/>
      </c>
      <c r="F74" s="21" t="str">
        <f>IF(PRENDAS!$B52="","",PRENDAS!$G52)</f>
        <v/>
      </c>
      <c r="G74" s="21" t="str">
        <f>IF(PRENDAS!$B52="","",PRENDAS!$H52)</f>
        <v/>
      </c>
      <c r="H74" s="21" t="str">
        <f>IF(PRENDAS!$B52="","",PRENDAS!$I52)</f>
        <v/>
      </c>
      <c r="I74" s="21" t="str">
        <f>IF(PRENDAS!$B52="","",PRENDAS!$J52)</f>
        <v/>
      </c>
      <c r="J74" s="21" t="str">
        <f>IF(PRENDAS!$B52="","",PRENDAS!$P52)</f>
        <v/>
      </c>
    </row>
    <row r="75" ht="15.0" customHeight="1">
      <c r="A75" s="30" t="str">
        <f>IF(PRENDAS!$B53="","",PRENDAS!$A53)</f>
        <v/>
      </c>
      <c r="B75" s="21" t="str">
        <f>IF(PRENDAS!$B53="","",PRENDAS!$B53)</f>
        <v/>
      </c>
      <c r="C75" s="21" t="str">
        <f>IF(PRENDAS!$B53="","",PRENDAS!$D53)</f>
        <v/>
      </c>
      <c r="D75" s="30" t="str">
        <f>IF(PRENDAS!$B53="","",PRENDAS!$E53)</f>
        <v/>
      </c>
      <c r="E75" s="30" t="str">
        <f>IF(PRENDAS!$B53="","",PRENDAS!$F53)</f>
        <v/>
      </c>
      <c r="F75" s="21" t="str">
        <f>IF(PRENDAS!$B53="","",PRENDAS!$G53)</f>
        <v/>
      </c>
      <c r="G75" s="21" t="str">
        <f>IF(PRENDAS!$B53="","",PRENDAS!$H53)</f>
        <v/>
      </c>
      <c r="H75" s="21" t="str">
        <f>IF(PRENDAS!$B53="","",PRENDAS!$I53)</f>
        <v/>
      </c>
      <c r="I75" s="21" t="str">
        <f>IF(PRENDAS!$B53="","",PRENDAS!$J53)</f>
        <v/>
      </c>
      <c r="J75" s="21" t="str">
        <f>IF(PRENDAS!$B53="","",PRENDAS!$P53)</f>
        <v/>
      </c>
    </row>
    <row r="76" ht="15.0" customHeight="1">
      <c r="A76" s="30" t="str">
        <f>IF(PRENDAS!$B54="","",PRENDAS!$A54)</f>
        <v/>
      </c>
      <c r="B76" s="21" t="str">
        <f>IF(PRENDAS!$B54="","",PRENDAS!$B54)</f>
        <v/>
      </c>
      <c r="C76" s="21" t="str">
        <f>IF(PRENDAS!$B54="","",PRENDAS!$D54)</f>
        <v/>
      </c>
      <c r="D76" s="30" t="str">
        <f>IF(PRENDAS!$B54="","",PRENDAS!$E54)</f>
        <v/>
      </c>
      <c r="E76" s="30" t="str">
        <f>IF(PRENDAS!$B54="","",PRENDAS!$F54)</f>
        <v/>
      </c>
      <c r="F76" s="21" t="str">
        <f>IF(PRENDAS!$B54="","",PRENDAS!$G54)</f>
        <v/>
      </c>
      <c r="G76" s="21" t="str">
        <f>IF(PRENDAS!$B54="","",PRENDAS!$H54)</f>
        <v/>
      </c>
      <c r="H76" s="21" t="str">
        <f>IF(PRENDAS!$B54="","",PRENDAS!$I54)</f>
        <v/>
      </c>
      <c r="I76" s="21" t="str">
        <f>IF(PRENDAS!$B54="","",PRENDAS!$J54)</f>
        <v/>
      </c>
      <c r="J76" s="21" t="str">
        <f>IF(PRENDAS!$B54="","",PRENDAS!$P54)</f>
        <v/>
      </c>
    </row>
    <row r="77" ht="15.0" customHeight="1">
      <c r="A77" s="30" t="str">
        <f>IF(PRENDAS!$B55="","",PRENDAS!$A55)</f>
        <v/>
      </c>
      <c r="B77" s="21" t="str">
        <f>IF(PRENDAS!$B55="","",PRENDAS!$B55)</f>
        <v/>
      </c>
      <c r="C77" s="21" t="str">
        <f>IF(PRENDAS!$B55="","",PRENDAS!$D55)</f>
        <v/>
      </c>
      <c r="D77" s="30" t="str">
        <f>IF(PRENDAS!$B55="","",PRENDAS!$E55)</f>
        <v/>
      </c>
      <c r="E77" s="30" t="str">
        <f>IF(PRENDAS!$B55="","",PRENDAS!$F55)</f>
        <v/>
      </c>
      <c r="F77" s="21" t="str">
        <f>IF(PRENDAS!$B55="","",PRENDAS!$G55)</f>
        <v/>
      </c>
      <c r="G77" s="21" t="str">
        <f>IF(PRENDAS!$B55="","",PRENDAS!$H55)</f>
        <v/>
      </c>
      <c r="H77" s="21" t="str">
        <f>IF(PRENDAS!$B55="","",PRENDAS!$I55)</f>
        <v/>
      </c>
      <c r="I77" s="21" t="str">
        <f>IF(PRENDAS!$B55="","",PRENDAS!$J55)</f>
        <v/>
      </c>
      <c r="J77" s="21" t="str">
        <f>IF(PRENDAS!$B55="","",PRENDAS!$P55)</f>
        <v/>
      </c>
    </row>
    <row r="78" ht="15.0" customHeight="1">
      <c r="A78" s="30" t="str">
        <f>IF(PRENDAS!$B56="","",PRENDAS!$A56)</f>
        <v/>
      </c>
      <c r="B78" s="21" t="str">
        <f>IF(PRENDAS!$B56="","",PRENDAS!$B56)</f>
        <v/>
      </c>
      <c r="C78" s="21" t="str">
        <f>IF(PRENDAS!$B56="","",PRENDAS!$D56)</f>
        <v/>
      </c>
      <c r="D78" s="30" t="str">
        <f>IF(PRENDAS!$B56="","",PRENDAS!$E56)</f>
        <v/>
      </c>
      <c r="E78" s="30" t="str">
        <f>IF(PRENDAS!$B56="","",PRENDAS!$F56)</f>
        <v/>
      </c>
      <c r="F78" s="21" t="str">
        <f>IF(PRENDAS!$B56="","",PRENDAS!$G56)</f>
        <v/>
      </c>
      <c r="G78" s="21" t="str">
        <f>IF(PRENDAS!$B56="","",PRENDAS!$H56)</f>
        <v/>
      </c>
      <c r="H78" s="21" t="str">
        <f>IF(PRENDAS!$B56="","",PRENDAS!$I56)</f>
        <v/>
      </c>
      <c r="I78" s="21" t="str">
        <f>IF(PRENDAS!$B56="","",PRENDAS!$J56)</f>
        <v/>
      </c>
      <c r="J78" s="21" t="str">
        <f>IF(PRENDAS!$B56="","",PRENDAS!$P56)</f>
        <v/>
      </c>
    </row>
    <row r="79" ht="15.0" customHeight="1">
      <c r="A79" s="30" t="str">
        <f>IF(PRENDAS!$B57="","",PRENDAS!$A57)</f>
        <v/>
      </c>
      <c r="B79" s="21" t="str">
        <f>IF(PRENDAS!$B57="","",PRENDAS!$B57)</f>
        <v/>
      </c>
      <c r="C79" s="21" t="str">
        <f>IF(PRENDAS!$B57="","",PRENDAS!$D57)</f>
        <v/>
      </c>
      <c r="D79" s="30" t="str">
        <f>IF(PRENDAS!$B57="","",PRENDAS!$E57)</f>
        <v/>
      </c>
      <c r="E79" s="30" t="str">
        <f>IF(PRENDAS!$B57="","",PRENDAS!$F57)</f>
        <v/>
      </c>
      <c r="F79" s="21" t="str">
        <f>IF(PRENDAS!$B57="","",PRENDAS!$G57)</f>
        <v/>
      </c>
      <c r="G79" s="21" t="str">
        <f>IF(PRENDAS!$B57="","",PRENDAS!$H57)</f>
        <v/>
      </c>
      <c r="H79" s="21" t="str">
        <f>IF(PRENDAS!$B57="","",PRENDAS!$I57)</f>
        <v/>
      </c>
      <c r="I79" s="21" t="str">
        <f>IF(PRENDAS!$B57="","",PRENDAS!$J57)</f>
        <v/>
      </c>
      <c r="J79" s="21" t="str">
        <f>IF(PRENDAS!$B57="","",PRENDAS!$P57)</f>
        <v/>
      </c>
    </row>
    <row r="80" ht="15.0" customHeight="1">
      <c r="A80" s="30" t="str">
        <f>IF(PRENDAS!$B58="","",PRENDAS!$A58)</f>
        <v/>
      </c>
      <c r="B80" s="21" t="str">
        <f>IF(PRENDAS!$B58="","",PRENDAS!$B58)</f>
        <v/>
      </c>
      <c r="C80" s="21" t="str">
        <f>IF(PRENDAS!$B58="","",PRENDAS!$D58)</f>
        <v/>
      </c>
      <c r="D80" s="30" t="str">
        <f>IF(PRENDAS!$B58="","",PRENDAS!$E58)</f>
        <v/>
      </c>
      <c r="E80" s="30" t="str">
        <f>IF(PRENDAS!$B58="","",PRENDAS!$F58)</f>
        <v/>
      </c>
      <c r="F80" s="21" t="str">
        <f>IF(PRENDAS!$B58="","",PRENDAS!$G58)</f>
        <v/>
      </c>
      <c r="G80" s="21" t="str">
        <f>IF(PRENDAS!$B58="","",PRENDAS!$H58)</f>
        <v/>
      </c>
      <c r="H80" s="21" t="str">
        <f>IF(PRENDAS!$B58="","",PRENDAS!$I58)</f>
        <v/>
      </c>
      <c r="I80" s="21" t="str">
        <f>IF(PRENDAS!$B58="","",PRENDAS!$J58)</f>
        <v/>
      </c>
      <c r="J80" s="21" t="str">
        <f>IF(PRENDAS!$B58="","",PRENDAS!$P58)</f>
        <v/>
      </c>
    </row>
    <row r="81" ht="15.0" customHeight="1">
      <c r="A81" s="30" t="str">
        <f>IF(PRENDAS!$B59="","",PRENDAS!$A59)</f>
        <v/>
      </c>
      <c r="B81" s="21" t="str">
        <f>IF(PRENDAS!$B59="","",PRENDAS!$B59)</f>
        <v/>
      </c>
      <c r="C81" s="21" t="str">
        <f>IF(PRENDAS!$B59="","",PRENDAS!$D59)</f>
        <v/>
      </c>
      <c r="D81" s="30" t="str">
        <f>IF(PRENDAS!$B59="","",PRENDAS!$E59)</f>
        <v/>
      </c>
      <c r="E81" s="30" t="str">
        <f>IF(PRENDAS!$B59="","",PRENDAS!$F59)</f>
        <v/>
      </c>
      <c r="F81" s="21" t="str">
        <f>IF(PRENDAS!$B59="","",PRENDAS!$G59)</f>
        <v/>
      </c>
      <c r="G81" s="21" t="str">
        <f>IF(PRENDAS!$B59="","",PRENDAS!$H59)</f>
        <v/>
      </c>
      <c r="H81" s="21" t="str">
        <f>IF(PRENDAS!$B59="","",PRENDAS!$I59)</f>
        <v/>
      </c>
      <c r="I81" s="21" t="str">
        <f>IF(PRENDAS!$B59="","",PRENDAS!$J59)</f>
        <v/>
      </c>
      <c r="J81" s="21" t="str">
        <f>IF(PRENDAS!$B59="","",PRENDAS!$P59)</f>
        <v/>
      </c>
    </row>
    <row r="82" ht="15.0" customHeight="1">
      <c r="A82" s="30" t="str">
        <f>IF(PRENDAS!$B60="","",PRENDAS!$A60)</f>
        <v/>
      </c>
      <c r="B82" s="21" t="str">
        <f>IF(PRENDAS!$B60="","",PRENDAS!$B60)</f>
        <v/>
      </c>
      <c r="C82" s="21" t="str">
        <f>IF(PRENDAS!$B60="","",PRENDAS!$D60)</f>
        <v/>
      </c>
      <c r="D82" s="30" t="str">
        <f>IF(PRENDAS!$B60="","",PRENDAS!$E60)</f>
        <v/>
      </c>
      <c r="E82" s="30" t="str">
        <f>IF(PRENDAS!$B60="","",PRENDAS!$F60)</f>
        <v/>
      </c>
      <c r="F82" s="21" t="str">
        <f>IF(PRENDAS!$B60="","",PRENDAS!$G60)</f>
        <v/>
      </c>
      <c r="G82" s="21" t="str">
        <f>IF(PRENDAS!$B60="","",PRENDAS!$H60)</f>
        <v/>
      </c>
      <c r="H82" s="21" t="str">
        <f>IF(PRENDAS!$B60="","",PRENDAS!$I60)</f>
        <v/>
      </c>
      <c r="I82" s="21" t="str">
        <f>IF(PRENDAS!$B60="","",PRENDAS!$J60)</f>
        <v/>
      </c>
      <c r="J82" s="21" t="str">
        <f>IF(PRENDAS!$B60="","",PRENDAS!$P60)</f>
        <v/>
      </c>
    </row>
    <row r="83" ht="15.0" customHeight="1">
      <c r="A83" s="30" t="str">
        <f>IF(PRENDAS!$B61="","",PRENDAS!$A61)</f>
        <v/>
      </c>
      <c r="B83" s="21" t="str">
        <f>IF(PRENDAS!$B61="","",PRENDAS!$B61)</f>
        <v/>
      </c>
      <c r="C83" s="21" t="str">
        <f>IF(PRENDAS!$B61="","",PRENDAS!$D61)</f>
        <v/>
      </c>
      <c r="D83" s="30" t="str">
        <f>IF(PRENDAS!$B61="","",PRENDAS!$E61)</f>
        <v/>
      </c>
      <c r="E83" s="30" t="str">
        <f>IF(PRENDAS!$B61="","",PRENDAS!$F61)</f>
        <v/>
      </c>
      <c r="F83" s="21" t="str">
        <f>IF(PRENDAS!$B61="","",PRENDAS!$G61)</f>
        <v/>
      </c>
      <c r="G83" s="21" t="str">
        <f>IF(PRENDAS!$B61="","",PRENDAS!$H61)</f>
        <v/>
      </c>
      <c r="H83" s="21" t="str">
        <f>IF(PRENDAS!$B61="","",PRENDAS!$I61)</f>
        <v/>
      </c>
      <c r="I83" s="21" t="str">
        <f>IF(PRENDAS!$B61="","",PRENDAS!$J61)</f>
        <v/>
      </c>
      <c r="J83" s="21" t="str">
        <f>IF(PRENDAS!$B61="","",PRENDAS!$P61)</f>
        <v/>
      </c>
    </row>
    <row r="84" ht="15.0" customHeight="1">
      <c r="A84" s="30" t="str">
        <f>IF(PRENDAS!$B62="","",PRENDAS!$A62)</f>
        <v/>
      </c>
      <c r="B84" s="21" t="str">
        <f>IF(PRENDAS!$B62="","",PRENDAS!$B62)</f>
        <v/>
      </c>
      <c r="C84" s="21" t="str">
        <f>IF(PRENDAS!$B62="","",PRENDAS!$D62)</f>
        <v/>
      </c>
      <c r="D84" s="30" t="str">
        <f>IF(PRENDAS!$B62="","",PRENDAS!$E62)</f>
        <v/>
      </c>
      <c r="E84" s="30" t="str">
        <f>IF(PRENDAS!$B62="","",PRENDAS!$F62)</f>
        <v/>
      </c>
      <c r="F84" s="21" t="str">
        <f>IF(PRENDAS!$B62="","",PRENDAS!$G62)</f>
        <v/>
      </c>
      <c r="G84" s="21" t="str">
        <f>IF(PRENDAS!$B62="","",PRENDAS!$H62)</f>
        <v/>
      </c>
      <c r="H84" s="21" t="str">
        <f>IF(PRENDAS!$B62="","",PRENDAS!$I62)</f>
        <v/>
      </c>
      <c r="I84" s="21" t="str">
        <f>IF(PRENDAS!$B62="","",PRENDAS!$J62)</f>
        <v/>
      </c>
      <c r="J84" s="21" t="str">
        <f>IF(PRENDAS!$B62="","",PRENDAS!$P62)</f>
        <v/>
      </c>
    </row>
    <row r="85" ht="15.0" customHeight="1">
      <c r="A85" s="30" t="str">
        <f>IF(PRENDAS!$B63="","",PRENDAS!$A63)</f>
        <v/>
      </c>
      <c r="B85" s="21" t="str">
        <f>IF(PRENDAS!$B63="","",PRENDAS!$B63)</f>
        <v/>
      </c>
      <c r="C85" s="21" t="str">
        <f>IF(PRENDAS!$B63="","",PRENDAS!$D63)</f>
        <v/>
      </c>
      <c r="D85" s="30" t="str">
        <f>IF(PRENDAS!$B63="","",PRENDAS!$E63)</f>
        <v/>
      </c>
      <c r="E85" s="30" t="str">
        <f>IF(PRENDAS!$B63="","",PRENDAS!$F63)</f>
        <v/>
      </c>
      <c r="F85" s="21" t="str">
        <f>IF(PRENDAS!$B63="","",PRENDAS!$G63)</f>
        <v/>
      </c>
      <c r="G85" s="21" t="str">
        <f>IF(PRENDAS!$B63="","",PRENDAS!$H63)</f>
        <v/>
      </c>
      <c r="H85" s="21" t="str">
        <f>IF(PRENDAS!$B63="","",PRENDAS!$I63)</f>
        <v/>
      </c>
      <c r="I85" s="21" t="str">
        <f>IF(PRENDAS!$B63="","",PRENDAS!$J63)</f>
        <v/>
      </c>
      <c r="J85" s="21" t="str">
        <f>IF(PRENDAS!$B63="","",PRENDAS!$P63)</f>
        <v/>
      </c>
    </row>
    <row r="86" ht="15.0" customHeight="1">
      <c r="A86" s="30" t="str">
        <f>IF(PRENDAS!$B64="","",PRENDAS!$A64)</f>
        <v/>
      </c>
      <c r="B86" s="21" t="str">
        <f>IF(PRENDAS!$B64="","",PRENDAS!$B64)</f>
        <v/>
      </c>
      <c r="C86" s="21" t="str">
        <f>IF(PRENDAS!$B64="","",PRENDAS!$D64)</f>
        <v/>
      </c>
      <c r="D86" s="30" t="str">
        <f>IF(PRENDAS!$B64="","",PRENDAS!$E64)</f>
        <v/>
      </c>
      <c r="E86" s="30" t="str">
        <f>IF(PRENDAS!$B64="","",PRENDAS!$F64)</f>
        <v/>
      </c>
      <c r="F86" s="21" t="str">
        <f>IF(PRENDAS!$B64="","",PRENDAS!$G64)</f>
        <v/>
      </c>
      <c r="G86" s="21" t="str">
        <f>IF(PRENDAS!$B64="","",PRENDAS!$H64)</f>
        <v/>
      </c>
      <c r="H86" s="21" t="str">
        <f>IF(PRENDAS!$B64="","",PRENDAS!$I64)</f>
        <v/>
      </c>
      <c r="I86" s="21" t="str">
        <f>IF(PRENDAS!$B64="","",PRENDAS!$J64)</f>
        <v/>
      </c>
      <c r="J86" s="21" t="str">
        <f>IF(PRENDAS!$B64="","",PRENDAS!$P64)</f>
        <v/>
      </c>
    </row>
    <row r="87" ht="15.0" customHeight="1">
      <c r="A87" s="30" t="str">
        <f>IF(PRENDAS!$B65="","",PRENDAS!$A65)</f>
        <v/>
      </c>
      <c r="B87" s="21" t="str">
        <f>IF(PRENDAS!$B65="","",PRENDAS!$B65)</f>
        <v/>
      </c>
      <c r="C87" s="21" t="str">
        <f>IF(PRENDAS!$B65="","",PRENDAS!$D65)</f>
        <v/>
      </c>
      <c r="D87" s="30" t="str">
        <f>IF(PRENDAS!$B65="","",PRENDAS!$E65)</f>
        <v/>
      </c>
      <c r="E87" s="30" t="str">
        <f>IF(PRENDAS!$B65="","",PRENDAS!$F65)</f>
        <v/>
      </c>
      <c r="F87" s="21" t="str">
        <f>IF(PRENDAS!$B65="","",PRENDAS!$G65)</f>
        <v/>
      </c>
      <c r="G87" s="21" t="str">
        <f>IF(PRENDAS!$B65="","",PRENDAS!$H65)</f>
        <v/>
      </c>
      <c r="H87" s="21" t="str">
        <f>IF(PRENDAS!$B65="","",PRENDAS!$I65)</f>
        <v/>
      </c>
      <c r="I87" s="21" t="str">
        <f>IF(PRENDAS!$B65="","",PRENDAS!$J65)</f>
        <v/>
      </c>
      <c r="J87" s="21" t="str">
        <f>IF(PRENDAS!$B65="","",PRENDAS!$P65)</f>
        <v/>
      </c>
    </row>
    <row r="88" ht="15.0" customHeight="1">
      <c r="A88" s="30" t="str">
        <f>IF(PRENDAS!$B66="","",PRENDAS!$A66)</f>
        <v/>
      </c>
      <c r="B88" s="21" t="str">
        <f>IF(PRENDAS!$B66="","",PRENDAS!$B66)</f>
        <v/>
      </c>
      <c r="C88" s="21" t="str">
        <f>IF(PRENDAS!$B66="","",PRENDAS!$D66)</f>
        <v/>
      </c>
      <c r="D88" s="30" t="str">
        <f>IF(PRENDAS!$B66="","",PRENDAS!$E66)</f>
        <v/>
      </c>
      <c r="E88" s="30" t="str">
        <f>IF(PRENDAS!$B66="","",PRENDAS!$F66)</f>
        <v/>
      </c>
      <c r="F88" s="21" t="str">
        <f>IF(PRENDAS!$B66="","",PRENDAS!$G66)</f>
        <v/>
      </c>
      <c r="G88" s="21" t="str">
        <f>IF(PRENDAS!$B66="","",PRENDAS!$H66)</f>
        <v/>
      </c>
      <c r="H88" s="21" t="str">
        <f>IF(PRENDAS!$B66="","",PRENDAS!$I66)</f>
        <v/>
      </c>
      <c r="I88" s="21" t="str">
        <f>IF(PRENDAS!$B66="","",PRENDAS!$J66)</f>
        <v/>
      </c>
      <c r="J88" s="21" t="str">
        <f>IF(PRENDAS!$B66="","",PRENDAS!$P66)</f>
        <v/>
      </c>
    </row>
    <row r="89" ht="15.0" customHeight="1">
      <c r="A89" s="30" t="str">
        <f>IF(PRENDAS!$B67="","",PRENDAS!$A67)</f>
        <v/>
      </c>
      <c r="B89" s="21" t="str">
        <f>IF(PRENDAS!$B67="","",PRENDAS!$B67)</f>
        <v/>
      </c>
      <c r="C89" s="21" t="str">
        <f>IF(PRENDAS!$B67="","",PRENDAS!$D67)</f>
        <v/>
      </c>
      <c r="D89" s="30" t="str">
        <f>IF(PRENDAS!$B67="","",PRENDAS!$E67)</f>
        <v/>
      </c>
      <c r="E89" s="30" t="str">
        <f>IF(PRENDAS!$B67="","",PRENDAS!$F67)</f>
        <v/>
      </c>
      <c r="F89" s="21" t="str">
        <f>IF(PRENDAS!$B67="","",PRENDAS!$G67)</f>
        <v/>
      </c>
      <c r="G89" s="21" t="str">
        <f>IF(PRENDAS!$B67="","",PRENDAS!$H67)</f>
        <v/>
      </c>
      <c r="H89" s="21" t="str">
        <f>IF(PRENDAS!$B67="","",PRENDAS!$I67)</f>
        <v/>
      </c>
      <c r="I89" s="21" t="str">
        <f>IF(PRENDAS!$B67="","",PRENDAS!$J67)</f>
        <v/>
      </c>
      <c r="J89" s="21" t="str">
        <f>IF(PRENDAS!$B67="","",PRENDAS!$P67)</f>
        <v/>
      </c>
    </row>
    <row r="90" ht="15.0" customHeight="1">
      <c r="A90" s="30" t="str">
        <f>IF(PRENDAS!$B68="","",PRENDAS!$A68)</f>
        <v/>
      </c>
      <c r="B90" s="21" t="str">
        <f>IF(PRENDAS!$B68="","",PRENDAS!$B68)</f>
        <v/>
      </c>
      <c r="C90" s="21" t="str">
        <f>IF(PRENDAS!$B68="","",PRENDAS!$D68)</f>
        <v/>
      </c>
      <c r="D90" s="30" t="str">
        <f>IF(PRENDAS!$B68="","",PRENDAS!$E68)</f>
        <v/>
      </c>
      <c r="E90" s="30" t="str">
        <f>IF(PRENDAS!$B68="","",PRENDAS!$F68)</f>
        <v/>
      </c>
      <c r="F90" s="21" t="str">
        <f>IF(PRENDAS!$B68="","",PRENDAS!$G68)</f>
        <v/>
      </c>
      <c r="G90" s="21" t="str">
        <f>IF(PRENDAS!$B68="","",PRENDAS!$H68)</f>
        <v/>
      </c>
      <c r="H90" s="21" t="str">
        <f>IF(PRENDAS!$B68="","",PRENDAS!$I68)</f>
        <v/>
      </c>
      <c r="I90" s="21" t="str">
        <f>IF(PRENDAS!$B68="","",PRENDAS!$J68)</f>
        <v/>
      </c>
      <c r="J90" s="21" t="str">
        <f>IF(PRENDAS!$B68="","",PRENDAS!$P68)</f>
        <v/>
      </c>
    </row>
    <row r="91" ht="15.0" customHeight="1">
      <c r="A91" s="30" t="str">
        <f>IF(PRENDAS!$B69="","",PRENDAS!$A69)</f>
        <v/>
      </c>
      <c r="B91" s="21" t="str">
        <f>IF(PRENDAS!$B69="","",PRENDAS!$B69)</f>
        <v/>
      </c>
      <c r="C91" s="21" t="str">
        <f>IF(PRENDAS!$B69="","",PRENDAS!$D69)</f>
        <v/>
      </c>
      <c r="D91" s="30" t="str">
        <f>IF(PRENDAS!$B69="","",PRENDAS!$E69)</f>
        <v/>
      </c>
      <c r="E91" s="30" t="str">
        <f>IF(PRENDAS!$B69="","",PRENDAS!$F69)</f>
        <v/>
      </c>
      <c r="F91" s="21" t="str">
        <f>IF(PRENDAS!$B69="","",PRENDAS!$G69)</f>
        <v/>
      </c>
      <c r="G91" s="21" t="str">
        <f>IF(PRENDAS!$B69="","",PRENDAS!$H69)</f>
        <v/>
      </c>
      <c r="H91" s="21" t="str">
        <f>IF(PRENDAS!$B69="","",PRENDAS!$I69)</f>
        <v/>
      </c>
      <c r="I91" s="21" t="str">
        <f>IF(PRENDAS!$B69="","",PRENDAS!$J69)</f>
        <v/>
      </c>
      <c r="J91" s="21" t="str">
        <f>IF(PRENDAS!$B69="","",PRENDAS!$P69)</f>
        <v/>
      </c>
    </row>
    <row r="92" ht="15.0" customHeight="1">
      <c r="A92" s="30" t="str">
        <f>IF(PRENDAS!$B70="","",PRENDAS!$A70)</f>
        <v/>
      </c>
      <c r="B92" s="21" t="str">
        <f>IF(PRENDAS!$B70="","",PRENDAS!$B70)</f>
        <v/>
      </c>
      <c r="C92" s="21" t="str">
        <f>IF(PRENDAS!$B70="","",PRENDAS!$D70)</f>
        <v/>
      </c>
      <c r="D92" s="30" t="str">
        <f>IF(PRENDAS!$B70="","",PRENDAS!$E70)</f>
        <v/>
      </c>
      <c r="E92" s="30" t="str">
        <f>IF(PRENDAS!$B70="","",PRENDAS!$F70)</f>
        <v/>
      </c>
      <c r="F92" s="21" t="str">
        <f>IF(PRENDAS!$B70="","",PRENDAS!$G70)</f>
        <v/>
      </c>
      <c r="G92" s="21" t="str">
        <f>IF(PRENDAS!$B70="","",PRENDAS!$H70)</f>
        <v/>
      </c>
      <c r="H92" s="21" t="str">
        <f>IF(PRENDAS!$B70="","",PRENDAS!$I70)</f>
        <v/>
      </c>
      <c r="I92" s="21" t="str">
        <f>IF(PRENDAS!$B70="","",PRENDAS!$J70)</f>
        <v/>
      </c>
      <c r="J92" s="21" t="str">
        <f>IF(PRENDAS!$B70="","",PRENDAS!$P70)</f>
        <v/>
      </c>
    </row>
    <row r="93" ht="15.0" customHeight="1">
      <c r="A93" s="30" t="str">
        <f>IF(PRENDAS!$B71="","",PRENDAS!$A71)</f>
        <v/>
      </c>
      <c r="B93" s="21" t="str">
        <f>IF(PRENDAS!$B71="","",PRENDAS!$B71)</f>
        <v/>
      </c>
      <c r="C93" s="21" t="str">
        <f>IF(PRENDAS!$B71="","",PRENDAS!$D71)</f>
        <v/>
      </c>
      <c r="D93" s="30" t="str">
        <f>IF(PRENDAS!$B71="","",PRENDAS!$E71)</f>
        <v/>
      </c>
      <c r="E93" s="30" t="str">
        <f>IF(PRENDAS!$B71="","",PRENDAS!$F71)</f>
        <v/>
      </c>
      <c r="F93" s="21" t="str">
        <f>IF(PRENDAS!$B71="","",PRENDAS!$G71)</f>
        <v/>
      </c>
      <c r="G93" s="21" t="str">
        <f>IF(PRENDAS!$B71="","",PRENDAS!$H71)</f>
        <v/>
      </c>
      <c r="H93" s="21" t="str">
        <f>IF(PRENDAS!$B71="","",PRENDAS!$I71)</f>
        <v/>
      </c>
      <c r="I93" s="21" t="str">
        <f>IF(PRENDAS!$B71="","",PRENDAS!$J71)</f>
        <v/>
      </c>
      <c r="J93" s="21" t="str">
        <f>IF(PRENDAS!$B71="","",PRENDAS!$P71)</f>
        <v/>
      </c>
    </row>
    <row r="94" ht="15.0" customHeight="1">
      <c r="A94" s="30" t="str">
        <f>IF(PRENDAS!$B72="","",PRENDAS!$A72)</f>
        <v/>
      </c>
      <c r="B94" s="21" t="str">
        <f>IF(PRENDAS!$B72="","",PRENDAS!$B72)</f>
        <v/>
      </c>
      <c r="C94" s="21" t="str">
        <f>IF(PRENDAS!$B72="","",PRENDAS!$D72)</f>
        <v/>
      </c>
      <c r="D94" s="30" t="str">
        <f>IF(PRENDAS!$B72="","",PRENDAS!$E72)</f>
        <v/>
      </c>
      <c r="E94" s="30" t="str">
        <f>IF(PRENDAS!$B72="","",PRENDAS!$F72)</f>
        <v/>
      </c>
      <c r="F94" s="21" t="str">
        <f>IF(PRENDAS!$B72="","",PRENDAS!$G72)</f>
        <v/>
      </c>
      <c r="G94" s="21" t="str">
        <f>IF(PRENDAS!$B72="","",PRENDAS!$H72)</f>
        <v/>
      </c>
      <c r="H94" s="21" t="str">
        <f>IF(PRENDAS!$B72="","",PRENDAS!$I72)</f>
        <v/>
      </c>
      <c r="I94" s="21" t="str">
        <f>IF(PRENDAS!$B72="","",PRENDAS!$J72)</f>
        <v/>
      </c>
      <c r="J94" s="21" t="str">
        <f>IF(PRENDAS!$B72="","",PRENDAS!$P72)</f>
        <v/>
      </c>
    </row>
    <row r="95" ht="15.0" customHeight="1">
      <c r="A95" s="30" t="str">
        <f>IF(PRENDAS!$B73="","",PRENDAS!$A73)</f>
        <v/>
      </c>
      <c r="B95" s="21" t="str">
        <f>IF(PRENDAS!$B73="","",PRENDAS!$B73)</f>
        <v/>
      </c>
      <c r="C95" s="21" t="str">
        <f>IF(PRENDAS!$B73="","",PRENDAS!$D73)</f>
        <v/>
      </c>
      <c r="D95" s="30" t="str">
        <f>IF(PRENDAS!$B73="","",PRENDAS!$E73)</f>
        <v/>
      </c>
      <c r="E95" s="30" t="str">
        <f>IF(PRENDAS!$B73="","",PRENDAS!$F73)</f>
        <v/>
      </c>
      <c r="F95" s="21" t="str">
        <f>IF(PRENDAS!$B73="","",PRENDAS!$G73)</f>
        <v/>
      </c>
      <c r="G95" s="21" t="str">
        <f>IF(PRENDAS!$B73="","",PRENDAS!$H73)</f>
        <v/>
      </c>
      <c r="H95" s="21" t="str">
        <f>IF(PRENDAS!$B73="","",PRENDAS!$I73)</f>
        <v/>
      </c>
      <c r="I95" s="21" t="str">
        <f>IF(PRENDAS!$B73="","",PRENDAS!$J73)</f>
        <v/>
      </c>
      <c r="J95" s="21" t="str">
        <f>IF(PRENDAS!$B73="","",PRENDAS!$P73)</f>
        <v/>
      </c>
    </row>
    <row r="96" ht="15.0" customHeight="1">
      <c r="A96" s="30" t="str">
        <f>IF(PRENDAS!$B74="","",PRENDAS!$A74)</f>
        <v/>
      </c>
      <c r="B96" s="21" t="str">
        <f>IF(PRENDAS!$B74="","",PRENDAS!$B74)</f>
        <v/>
      </c>
      <c r="C96" s="21" t="str">
        <f>IF(PRENDAS!$B74="","",PRENDAS!$D74)</f>
        <v/>
      </c>
      <c r="D96" s="30" t="str">
        <f>IF(PRENDAS!$B74="","",PRENDAS!$E74)</f>
        <v/>
      </c>
      <c r="E96" s="30" t="str">
        <f>IF(PRENDAS!$B74="","",PRENDAS!$F74)</f>
        <v/>
      </c>
      <c r="F96" s="21" t="str">
        <f>IF(PRENDAS!$B74="","",PRENDAS!$G74)</f>
        <v/>
      </c>
      <c r="G96" s="21" t="str">
        <f>IF(PRENDAS!$B74="","",PRENDAS!$H74)</f>
        <v/>
      </c>
      <c r="H96" s="21" t="str">
        <f>IF(PRENDAS!$B74="","",PRENDAS!$I74)</f>
        <v/>
      </c>
      <c r="I96" s="21" t="str">
        <f>IF(PRENDAS!$B74="","",PRENDAS!$J74)</f>
        <v/>
      </c>
      <c r="J96" s="21" t="str">
        <f>IF(PRENDAS!$B74="","",PRENDAS!$P74)</f>
        <v/>
      </c>
    </row>
    <row r="97" ht="15.0" customHeight="1">
      <c r="A97" s="30" t="str">
        <f>IF(PRENDAS!$B75="","",PRENDAS!$A75)</f>
        <v/>
      </c>
      <c r="B97" s="21" t="str">
        <f>IF(PRENDAS!$B75="","",PRENDAS!$B75)</f>
        <v/>
      </c>
      <c r="C97" s="21" t="str">
        <f>IF(PRENDAS!$B75="","",PRENDAS!$D75)</f>
        <v/>
      </c>
      <c r="D97" s="30" t="str">
        <f>IF(PRENDAS!$B75="","",PRENDAS!$E75)</f>
        <v/>
      </c>
      <c r="E97" s="30" t="str">
        <f>IF(PRENDAS!$B75="","",PRENDAS!$F75)</f>
        <v/>
      </c>
      <c r="F97" s="21" t="str">
        <f>IF(PRENDAS!$B75="","",PRENDAS!$G75)</f>
        <v/>
      </c>
      <c r="G97" s="21" t="str">
        <f>IF(PRENDAS!$B75="","",PRENDAS!$H75)</f>
        <v/>
      </c>
      <c r="H97" s="21" t="str">
        <f>IF(PRENDAS!$B75="","",PRENDAS!$I75)</f>
        <v/>
      </c>
      <c r="I97" s="21" t="str">
        <f>IF(PRENDAS!$B75="","",PRENDAS!$J75)</f>
        <v/>
      </c>
      <c r="J97" s="21" t="str">
        <f>IF(PRENDAS!$B75="","",PRENDAS!$P75)</f>
        <v/>
      </c>
    </row>
    <row r="98" ht="15.0" customHeight="1">
      <c r="A98" s="30" t="str">
        <f>IF(PRENDAS!$B76="","",PRENDAS!$A76)</f>
        <v/>
      </c>
      <c r="B98" s="21" t="str">
        <f>IF(PRENDAS!$B76="","",PRENDAS!$B76)</f>
        <v/>
      </c>
      <c r="C98" s="21" t="str">
        <f>IF(PRENDAS!$B76="","",PRENDAS!$D76)</f>
        <v/>
      </c>
      <c r="D98" s="30" t="str">
        <f>IF(PRENDAS!$B76="","",PRENDAS!$E76)</f>
        <v/>
      </c>
      <c r="E98" s="30" t="str">
        <f>IF(PRENDAS!$B76="","",PRENDAS!$F76)</f>
        <v/>
      </c>
      <c r="F98" s="21" t="str">
        <f>IF(PRENDAS!$B76="","",PRENDAS!$G76)</f>
        <v/>
      </c>
      <c r="G98" s="21" t="str">
        <f>IF(PRENDAS!$B76="","",PRENDAS!$H76)</f>
        <v/>
      </c>
      <c r="H98" s="21" t="str">
        <f>IF(PRENDAS!$B76="","",PRENDAS!$I76)</f>
        <v/>
      </c>
      <c r="I98" s="21" t="str">
        <f>IF(PRENDAS!$B76="","",PRENDAS!$J76)</f>
        <v/>
      </c>
      <c r="J98" s="21" t="str">
        <f>IF(PRENDAS!$B76="","",PRENDAS!$P76)</f>
        <v/>
      </c>
    </row>
    <row r="99" ht="15.0" customHeight="1">
      <c r="A99" s="30" t="str">
        <f>IF(PRENDAS!$B77="","",PRENDAS!$A77)</f>
        <v/>
      </c>
      <c r="B99" s="21" t="str">
        <f>IF(PRENDAS!$B77="","",PRENDAS!$B77)</f>
        <v/>
      </c>
      <c r="C99" s="21" t="str">
        <f>IF(PRENDAS!$B77="","",PRENDAS!$D77)</f>
        <v/>
      </c>
      <c r="D99" s="30" t="str">
        <f>IF(PRENDAS!$B77="","",PRENDAS!$E77)</f>
        <v/>
      </c>
      <c r="E99" s="30" t="str">
        <f>IF(PRENDAS!$B77="","",PRENDAS!$F77)</f>
        <v/>
      </c>
      <c r="F99" s="21" t="str">
        <f>IF(PRENDAS!$B77="","",PRENDAS!$G77)</f>
        <v/>
      </c>
      <c r="G99" s="21" t="str">
        <f>IF(PRENDAS!$B77="","",PRENDAS!$H77)</f>
        <v/>
      </c>
      <c r="H99" s="21" t="str">
        <f>IF(PRENDAS!$B77="","",PRENDAS!$I77)</f>
        <v/>
      </c>
      <c r="I99" s="21" t="str">
        <f>IF(PRENDAS!$B77="","",PRENDAS!$J77)</f>
        <v/>
      </c>
      <c r="J99" s="21" t="str">
        <f>IF(PRENDAS!$B77="","",PRENDAS!$P77)</f>
        <v/>
      </c>
    </row>
    <row r="100" ht="15.0" customHeight="1">
      <c r="A100" s="30" t="str">
        <f>IF(PRENDAS!$B78="","",PRENDAS!$A78)</f>
        <v/>
      </c>
      <c r="B100" s="21" t="str">
        <f>IF(PRENDAS!$B78="","",PRENDAS!$B78)</f>
        <v/>
      </c>
      <c r="C100" s="21" t="str">
        <f>IF(PRENDAS!$B78="","",PRENDAS!$D78)</f>
        <v/>
      </c>
      <c r="D100" s="30" t="str">
        <f>IF(PRENDAS!$B78="","",PRENDAS!$E78)</f>
        <v/>
      </c>
      <c r="E100" s="30" t="str">
        <f>IF(PRENDAS!$B78="","",PRENDAS!$F78)</f>
        <v/>
      </c>
      <c r="F100" s="21" t="str">
        <f>IF(PRENDAS!$B78="","",PRENDAS!$G78)</f>
        <v/>
      </c>
      <c r="G100" s="21" t="str">
        <f>IF(PRENDAS!$B78="","",PRENDAS!$H78)</f>
        <v/>
      </c>
      <c r="H100" s="21" t="str">
        <f>IF(PRENDAS!$B78="","",PRENDAS!$I78)</f>
        <v/>
      </c>
      <c r="I100" s="21" t="str">
        <f>IF(PRENDAS!$B78="","",PRENDAS!$J78)</f>
        <v/>
      </c>
      <c r="J100" s="21" t="str">
        <f>IF(PRENDAS!$B78="","",PRENDAS!$P78)</f>
        <v/>
      </c>
    </row>
    <row r="101" ht="15.0" customHeight="1">
      <c r="A101" s="30" t="str">
        <f>IF(PRENDAS!$B79="","",PRENDAS!$A79)</f>
        <v/>
      </c>
      <c r="B101" s="21" t="str">
        <f>IF(PRENDAS!$B79="","",PRENDAS!$B79)</f>
        <v/>
      </c>
      <c r="C101" s="21" t="str">
        <f>IF(PRENDAS!$B79="","",PRENDAS!$D79)</f>
        <v/>
      </c>
      <c r="D101" s="30" t="str">
        <f>IF(PRENDAS!$B79="","",PRENDAS!$E79)</f>
        <v/>
      </c>
      <c r="E101" s="30" t="str">
        <f>IF(PRENDAS!$B79="","",PRENDAS!$F79)</f>
        <v/>
      </c>
      <c r="F101" s="21" t="str">
        <f>IF(PRENDAS!$B79="","",PRENDAS!$G79)</f>
        <v/>
      </c>
      <c r="G101" s="21" t="str">
        <f>IF(PRENDAS!$B79="","",PRENDAS!$H79)</f>
        <v/>
      </c>
      <c r="H101" s="21" t="str">
        <f>IF(PRENDAS!$B79="","",PRENDAS!$I79)</f>
        <v/>
      </c>
      <c r="I101" s="21" t="str">
        <f>IF(PRENDAS!$B79="","",PRENDAS!$J79)</f>
        <v/>
      </c>
      <c r="J101" s="21" t="str">
        <f>IF(PRENDAS!$B79="","",PRENDAS!$P79)</f>
        <v/>
      </c>
    </row>
    <row r="102" ht="15.0" customHeight="1">
      <c r="A102" s="30" t="str">
        <f>IF(PRENDAS!$B80="","",PRENDAS!$A80)</f>
        <v/>
      </c>
      <c r="B102" s="21" t="str">
        <f>IF(PRENDAS!$B80="","",PRENDAS!$B80)</f>
        <v/>
      </c>
      <c r="C102" s="21" t="str">
        <f>IF(PRENDAS!$B80="","",PRENDAS!$D80)</f>
        <v/>
      </c>
      <c r="D102" s="30" t="str">
        <f>IF(PRENDAS!$B80="","",PRENDAS!$E80)</f>
        <v/>
      </c>
      <c r="E102" s="30" t="str">
        <f>IF(PRENDAS!$B80="","",PRENDAS!$F80)</f>
        <v/>
      </c>
      <c r="F102" s="21" t="str">
        <f>IF(PRENDAS!$B80="","",PRENDAS!$G80)</f>
        <v/>
      </c>
      <c r="G102" s="21" t="str">
        <f>IF(PRENDAS!$B80="","",PRENDAS!$H80)</f>
        <v/>
      </c>
      <c r="H102" s="21" t="str">
        <f>IF(PRENDAS!$B80="","",PRENDAS!$I80)</f>
        <v/>
      </c>
      <c r="I102" s="21" t="str">
        <f>IF(PRENDAS!$B80="","",PRENDAS!$J80)</f>
        <v/>
      </c>
      <c r="J102" s="21" t="str">
        <f>IF(PRENDAS!$B80="","",PRENDAS!$P80)</f>
        <v/>
      </c>
    </row>
    <row r="103" ht="15.0" customHeight="1">
      <c r="A103" s="30" t="str">
        <f>IF(PRENDAS!$B81="","",PRENDAS!$A81)</f>
        <v/>
      </c>
      <c r="B103" s="21" t="str">
        <f>IF(PRENDAS!$B81="","",PRENDAS!$B81)</f>
        <v/>
      </c>
      <c r="C103" s="21" t="str">
        <f>IF(PRENDAS!$B81="","",PRENDAS!$D81)</f>
        <v/>
      </c>
      <c r="D103" s="30" t="str">
        <f>IF(PRENDAS!$B81="","",PRENDAS!$E81)</f>
        <v/>
      </c>
      <c r="E103" s="30" t="str">
        <f>IF(PRENDAS!$B81="","",PRENDAS!$F81)</f>
        <v/>
      </c>
      <c r="F103" s="21" t="str">
        <f>IF(PRENDAS!$B81="","",PRENDAS!$G81)</f>
        <v/>
      </c>
      <c r="G103" s="21" t="str">
        <f>IF(PRENDAS!$B81="","",PRENDAS!$H81)</f>
        <v/>
      </c>
      <c r="H103" s="21" t="str">
        <f>IF(PRENDAS!$B81="","",PRENDAS!$I81)</f>
        <v/>
      </c>
      <c r="I103" s="21" t="str">
        <f>IF(PRENDAS!$B81="","",PRENDAS!$J81)</f>
        <v/>
      </c>
      <c r="J103" s="21" t="str">
        <f>IF(PRENDAS!$B81="","",PRENDAS!$P81)</f>
        <v/>
      </c>
    </row>
    <row r="104" ht="15.0" customHeight="1">
      <c r="A104" s="30" t="str">
        <f>IF(PRENDAS!$B82="","",PRENDAS!$A82)</f>
        <v/>
      </c>
      <c r="B104" s="21" t="str">
        <f>IF(PRENDAS!$B82="","",PRENDAS!$B82)</f>
        <v/>
      </c>
      <c r="C104" s="21" t="str">
        <f>IF(PRENDAS!$B82="","",PRENDAS!$D82)</f>
        <v/>
      </c>
      <c r="D104" s="30" t="str">
        <f>IF(PRENDAS!$B82="","",PRENDAS!$E82)</f>
        <v/>
      </c>
      <c r="E104" s="30" t="str">
        <f>IF(PRENDAS!$B82="","",PRENDAS!$F82)</f>
        <v/>
      </c>
      <c r="F104" s="21" t="str">
        <f>IF(PRENDAS!$B82="","",PRENDAS!$G82)</f>
        <v/>
      </c>
      <c r="G104" s="21" t="str">
        <f>IF(PRENDAS!$B82="","",PRENDAS!$H82)</f>
        <v/>
      </c>
      <c r="H104" s="21" t="str">
        <f>IF(PRENDAS!$B82="","",PRENDAS!$I82)</f>
        <v/>
      </c>
      <c r="I104" s="21" t="str">
        <f>IF(PRENDAS!$B82="","",PRENDAS!$J82)</f>
        <v/>
      </c>
      <c r="J104" s="21" t="str">
        <f>IF(PRENDAS!$B82="","",PRENDAS!$P82)</f>
        <v/>
      </c>
    </row>
    <row r="105" ht="15.0" customHeight="1">
      <c r="A105" s="30" t="str">
        <f>IF(PRENDAS!$B83="","",PRENDAS!$A83)</f>
        <v/>
      </c>
      <c r="B105" s="21" t="str">
        <f>IF(PRENDAS!$B83="","",PRENDAS!$B83)</f>
        <v/>
      </c>
      <c r="C105" s="21" t="str">
        <f>IF(PRENDAS!$B83="","",PRENDAS!$D83)</f>
        <v/>
      </c>
      <c r="D105" s="30" t="str">
        <f>IF(PRENDAS!$B83="","",PRENDAS!$E83)</f>
        <v/>
      </c>
      <c r="E105" s="30" t="str">
        <f>IF(PRENDAS!$B83="","",PRENDAS!$F83)</f>
        <v/>
      </c>
      <c r="F105" s="21" t="str">
        <f>IF(PRENDAS!$B83="","",PRENDAS!$G83)</f>
        <v/>
      </c>
      <c r="G105" s="21" t="str">
        <f>IF(PRENDAS!$B83="","",PRENDAS!$H83)</f>
        <v/>
      </c>
      <c r="H105" s="21" t="str">
        <f>IF(PRENDAS!$B83="","",PRENDAS!$I83)</f>
        <v/>
      </c>
      <c r="I105" s="21" t="str">
        <f>IF(PRENDAS!$B83="","",PRENDAS!$J83)</f>
        <v/>
      </c>
      <c r="J105" s="21" t="str">
        <f>IF(PRENDAS!$B83="","",PRENDAS!$P83)</f>
        <v/>
      </c>
    </row>
    <row r="106" ht="15.0" customHeight="1">
      <c r="A106" s="30" t="str">
        <f>IF(PRENDAS!$B84="","",PRENDAS!$A84)</f>
        <v/>
      </c>
      <c r="B106" s="21" t="str">
        <f>IF(PRENDAS!$B84="","",PRENDAS!$B84)</f>
        <v/>
      </c>
      <c r="C106" s="21" t="str">
        <f>IF(PRENDAS!$B84="","",PRENDAS!$D84)</f>
        <v/>
      </c>
      <c r="D106" s="30" t="str">
        <f>IF(PRENDAS!$B84="","",PRENDAS!$E84)</f>
        <v/>
      </c>
      <c r="E106" s="30" t="str">
        <f>IF(PRENDAS!$B84="","",PRENDAS!$F84)</f>
        <v/>
      </c>
      <c r="F106" s="21" t="str">
        <f>IF(PRENDAS!$B84="","",PRENDAS!$G84)</f>
        <v/>
      </c>
      <c r="G106" s="21" t="str">
        <f>IF(PRENDAS!$B84="","",PRENDAS!$H84)</f>
        <v/>
      </c>
      <c r="H106" s="21" t="str">
        <f>IF(PRENDAS!$B84="","",PRENDAS!$I84)</f>
        <v/>
      </c>
      <c r="I106" s="21" t="str">
        <f>IF(PRENDAS!$B84="","",PRENDAS!$J84)</f>
        <v/>
      </c>
      <c r="J106" s="21" t="str">
        <f>IF(PRENDAS!$B84="","",PRENDAS!$P84)</f>
        <v/>
      </c>
    </row>
    <row r="107" ht="15.0" customHeight="1">
      <c r="A107" s="30" t="str">
        <f>IF(PRENDAS!$B85="","",PRENDAS!$A85)</f>
        <v/>
      </c>
      <c r="B107" s="21" t="str">
        <f>IF(PRENDAS!$B85="","",PRENDAS!$B85)</f>
        <v/>
      </c>
      <c r="C107" s="21" t="str">
        <f>IF(PRENDAS!$B85="","",PRENDAS!$D85)</f>
        <v/>
      </c>
      <c r="D107" s="30" t="str">
        <f>IF(PRENDAS!$B85="","",PRENDAS!$E85)</f>
        <v/>
      </c>
      <c r="E107" s="30" t="str">
        <f>IF(PRENDAS!$B85="","",PRENDAS!$F85)</f>
        <v/>
      </c>
      <c r="F107" s="21" t="str">
        <f>IF(PRENDAS!$B85="","",PRENDAS!$G85)</f>
        <v/>
      </c>
      <c r="G107" s="21" t="str">
        <f>IF(PRENDAS!$B85="","",PRENDAS!$H85)</f>
        <v/>
      </c>
      <c r="H107" s="21" t="str">
        <f>IF(PRENDAS!$B85="","",PRENDAS!$I85)</f>
        <v/>
      </c>
      <c r="I107" s="21" t="str">
        <f>IF(PRENDAS!$B85="","",PRENDAS!$J85)</f>
        <v/>
      </c>
      <c r="J107" s="21" t="str">
        <f>IF(PRENDAS!$B85="","",PRENDAS!$P85)</f>
        <v/>
      </c>
    </row>
    <row r="108" ht="15.0" customHeight="1">
      <c r="A108" s="30" t="str">
        <f>IF(PRENDAS!$B86="","",PRENDAS!$A86)</f>
        <v/>
      </c>
      <c r="B108" s="21" t="str">
        <f>IF(PRENDAS!$B86="","",PRENDAS!$B86)</f>
        <v/>
      </c>
      <c r="C108" s="21" t="str">
        <f>IF(PRENDAS!$B86="","",PRENDAS!$D86)</f>
        <v/>
      </c>
      <c r="D108" s="30" t="str">
        <f>IF(PRENDAS!$B86="","",PRENDAS!$E86)</f>
        <v/>
      </c>
      <c r="E108" s="30" t="str">
        <f>IF(PRENDAS!$B86="","",PRENDAS!$F86)</f>
        <v/>
      </c>
      <c r="F108" s="21" t="str">
        <f>IF(PRENDAS!$B86="","",PRENDAS!$G86)</f>
        <v/>
      </c>
      <c r="G108" s="21" t="str">
        <f>IF(PRENDAS!$B86="","",PRENDAS!$H86)</f>
        <v/>
      </c>
      <c r="H108" s="21" t="str">
        <f>IF(PRENDAS!$B86="","",PRENDAS!$I86)</f>
        <v/>
      </c>
      <c r="I108" s="21" t="str">
        <f>IF(PRENDAS!$B86="","",PRENDAS!$J86)</f>
        <v/>
      </c>
      <c r="J108" s="21" t="str">
        <f>IF(PRENDAS!$B86="","",PRENDAS!$P86)</f>
        <v/>
      </c>
    </row>
    <row r="109" ht="15.0" customHeight="1">
      <c r="A109" s="30" t="str">
        <f>IF(PRENDAS!$B87="","",PRENDAS!$A87)</f>
        <v/>
      </c>
      <c r="B109" s="21" t="str">
        <f>IF(PRENDAS!$B87="","",PRENDAS!$B87)</f>
        <v/>
      </c>
      <c r="C109" s="21" t="str">
        <f>IF(PRENDAS!$B87="","",PRENDAS!$D87)</f>
        <v/>
      </c>
      <c r="D109" s="30" t="str">
        <f>IF(PRENDAS!$B87="","",PRENDAS!$E87)</f>
        <v/>
      </c>
      <c r="E109" s="30" t="str">
        <f>IF(PRENDAS!$B87="","",PRENDAS!$F87)</f>
        <v/>
      </c>
      <c r="F109" s="21" t="str">
        <f>IF(PRENDAS!$B87="","",PRENDAS!$G87)</f>
        <v/>
      </c>
      <c r="G109" s="21" t="str">
        <f>IF(PRENDAS!$B87="","",PRENDAS!$H87)</f>
        <v/>
      </c>
      <c r="H109" s="21" t="str">
        <f>IF(PRENDAS!$B87="","",PRENDAS!$I87)</f>
        <v/>
      </c>
      <c r="I109" s="21" t="str">
        <f>IF(PRENDAS!$B87="","",PRENDAS!$J87)</f>
        <v/>
      </c>
      <c r="J109" s="21" t="str">
        <f>IF(PRENDAS!$B87="","",PRENDAS!$P87)</f>
        <v/>
      </c>
    </row>
    <row r="110" ht="15.0" customHeight="1">
      <c r="A110" s="30" t="str">
        <f>IF(PRENDAS!$B88="","",PRENDAS!$A88)</f>
        <v/>
      </c>
      <c r="B110" s="21" t="str">
        <f>IF(PRENDAS!$B88="","",PRENDAS!$B88)</f>
        <v/>
      </c>
      <c r="C110" s="21" t="str">
        <f>IF(PRENDAS!$B88="","",PRENDAS!$D88)</f>
        <v/>
      </c>
      <c r="D110" s="30" t="str">
        <f>IF(PRENDAS!$B88="","",PRENDAS!$E88)</f>
        <v/>
      </c>
      <c r="E110" s="30" t="str">
        <f>IF(PRENDAS!$B88="","",PRENDAS!$F88)</f>
        <v/>
      </c>
      <c r="F110" s="21" t="str">
        <f>IF(PRENDAS!$B88="","",PRENDAS!$G88)</f>
        <v/>
      </c>
      <c r="G110" s="21" t="str">
        <f>IF(PRENDAS!$B88="","",PRENDAS!$H88)</f>
        <v/>
      </c>
      <c r="H110" s="21" t="str">
        <f>IF(PRENDAS!$B88="","",PRENDAS!$I88)</f>
        <v/>
      </c>
      <c r="I110" s="21" t="str">
        <f>IF(PRENDAS!$B88="","",PRENDAS!$J88)</f>
        <v/>
      </c>
      <c r="J110" s="21" t="str">
        <f>IF(PRENDAS!$B88="","",PRENDAS!$P88)</f>
        <v/>
      </c>
    </row>
    <row r="111" ht="15.0" customHeight="1">
      <c r="A111" s="30" t="str">
        <f>IF(PRENDAS!$B89="","",PRENDAS!$A89)</f>
        <v/>
      </c>
      <c r="B111" s="21" t="str">
        <f>IF(PRENDAS!$B89="","",PRENDAS!$B89)</f>
        <v/>
      </c>
      <c r="C111" s="21" t="str">
        <f>IF(PRENDAS!$B89="","",PRENDAS!$D89)</f>
        <v/>
      </c>
      <c r="D111" s="30" t="str">
        <f>IF(PRENDAS!$B89="","",PRENDAS!$E89)</f>
        <v/>
      </c>
      <c r="E111" s="30" t="str">
        <f>IF(PRENDAS!$B89="","",PRENDAS!$F89)</f>
        <v/>
      </c>
      <c r="F111" s="21" t="str">
        <f>IF(PRENDAS!$B89="","",PRENDAS!$G89)</f>
        <v/>
      </c>
      <c r="G111" s="21" t="str">
        <f>IF(PRENDAS!$B89="","",PRENDAS!$H89)</f>
        <v/>
      </c>
      <c r="H111" s="21" t="str">
        <f>IF(PRENDAS!$B89="","",PRENDAS!$I89)</f>
        <v/>
      </c>
      <c r="I111" s="21" t="str">
        <f>IF(PRENDAS!$B89="","",PRENDAS!$J89)</f>
        <v/>
      </c>
      <c r="J111" s="21" t="str">
        <f>IF(PRENDAS!$B89="","",PRENDAS!$P89)</f>
        <v/>
      </c>
    </row>
    <row r="112" ht="15.0" customHeight="1">
      <c r="A112" s="30" t="str">
        <f>IF(PRENDAS!$B90="","",PRENDAS!$A90)</f>
        <v/>
      </c>
      <c r="B112" s="21" t="str">
        <f>IF(PRENDAS!$B90="","",PRENDAS!$B90)</f>
        <v/>
      </c>
      <c r="C112" s="21" t="str">
        <f>IF(PRENDAS!$B90="","",PRENDAS!$D90)</f>
        <v/>
      </c>
      <c r="D112" s="30" t="str">
        <f>IF(PRENDAS!$B90="","",PRENDAS!$E90)</f>
        <v/>
      </c>
      <c r="E112" s="30" t="str">
        <f>IF(PRENDAS!$B90="","",PRENDAS!$F90)</f>
        <v/>
      </c>
      <c r="F112" s="21" t="str">
        <f>IF(PRENDAS!$B90="","",PRENDAS!$G90)</f>
        <v/>
      </c>
      <c r="G112" s="21" t="str">
        <f>IF(PRENDAS!$B90="","",PRENDAS!$H90)</f>
        <v/>
      </c>
      <c r="H112" s="21" t="str">
        <f>IF(PRENDAS!$B90="","",PRENDAS!$I90)</f>
        <v/>
      </c>
      <c r="I112" s="21" t="str">
        <f>IF(PRENDAS!$B90="","",PRENDAS!$J90)</f>
        <v/>
      </c>
      <c r="J112" s="21" t="str">
        <f>IF(PRENDAS!$B90="","",PRENDAS!$P90)</f>
        <v/>
      </c>
    </row>
    <row r="113" ht="15.0" customHeight="1">
      <c r="A113" s="30" t="str">
        <f>IF(PRENDAS!$B91="","",PRENDAS!$A91)</f>
        <v/>
      </c>
      <c r="B113" s="21" t="str">
        <f>IF(PRENDAS!$B91="","",PRENDAS!$B91)</f>
        <v/>
      </c>
      <c r="C113" s="21" t="str">
        <f>IF(PRENDAS!$B91="","",PRENDAS!$D91)</f>
        <v/>
      </c>
      <c r="D113" s="30" t="str">
        <f>IF(PRENDAS!$B91="","",PRENDAS!$E91)</f>
        <v/>
      </c>
      <c r="E113" s="30" t="str">
        <f>IF(PRENDAS!$B91="","",PRENDAS!$F91)</f>
        <v/>
      </c>
      <c r="F113" s="21" t="str">
        <f>IF(PRENDAS!$B91="","",PRENDAS!$G91)</f>
        <v/>
      </c>
      <c r="G113" s="21" t="str">
        <f>IF(PRENDAS!$B91="","",PRENDAS!$H91)</f>
        <v/>
      </c>
      <c r="H113" s="21" t="str">
        <f>IF(PRENDAS!$B91="","",PRENDAS!$I91)</f>
        <v/>
      </c>
      <c r="I113" s="21" t="str">
        <f>IF(PRENDAS!$B91="","",PRENDAS!$J91)</f>
        <v/>
      </c>
      <c r="J113" s="21" t="str">
        <f>IF(PRENDAS!$B91="","",PRENDAS!$P91)</f>
        <v/>
      </c>
    </row>
    <row r="114" ht="15.0" customHeight="1">
      <c r="A114" s="30" t="str">
        <f>IF(PRENDAS!$B92="","",PRENDAS!$A92)</f>
        <v/>
      </c>
      <c r="B114" s="21" t="str">
        <f>IF(PRENDAS!$B92="","",PRENDAS!$B92)</f>
        <v/>
      </c>
      <c r="C114" s="21" t="str">
        <f>IF(PRENDAS!$B92="","",PRENDAS!$D92)</f>
        <v/>
      </c>
      <c r="D114" s="30" t="str">
        <f>IF(PRENDAS!$B92="","",PRENDAS!$E92)</f>
        <v/>
      </c>
      <c r="E114" s="30" t="str">
        <f>IF(PRENDAS!$B92="","",PRENDAS!$F92)</f>
        <v/>
      </c>
      <c r="F114" s="21" t="str">
        <f>IF(PRENDAS!$B92="","",PRENDAS!$G92)</f>
        <v/>
      </c>
      <c r="G114" s="21" t="str">
        <f>IF(PRENDAS!$B92="","",PRENDAS!$H92)</f>
        <v/>
      </c>
      <c r="H114" s="21" t="str">
        <f>IF(PRENDAS!$B92="","",PRENDAS!$I92)</f>
        <v/>
      </c>
      <c r="I114" s="21" t="str">
        <f>IF(PRENDAS!$B92="","",PRENDAS!$J92)</f>
        <v/>
      </c>
      <c r="J114" s="21" t="str">
        <f>IF(PRENDAS!$B92="","",PRENDAS!$P92)</f>
        <v/>
      </c>
    </row>
    <row r="115" ht="15.0" customHeight="1">
      <c r="A115" s="30" t="str">
        <f>IF(PRENDAS!$B93="","",PRENDAS!$A93)</f>
        <v/>
      </c>
      <c r="B115" s="21" t="str">
        <f>IF(PRENDAS!$B93="","",PRENDAS!$B93)</f>
        <v/>
      </c>
      <c r="C115" s="21" t="str">
        <f>IF(PRENDAS!$B93="","",PRENDAS!$D93)</f>
        <v/>
      </c>
      <c r="D115" s="30" t="str">
        <f>IF(PRENDAS!$B93="","",PRENDAS!$E93)</f>
        <v/>
      </c>
      <c r="E115" s="30" t="str">
        <f>IF(PRENDAS!$B93="","",PRENDAS!$F93)</f>
        <v/>
      </c>
      <c r="F115" s="21" t="str">
        <f>IF(PRENDAS!$B93="","",PRENDAS!$G93)</f>
        <v/>
      </c>
      <c r="G115" s="21" t="str">
        <f>IF(PRENDAS!$B93="","",PRENDAS!$H93)</f>
        <v/>
      </c>
      <c r="H115" s="21" t="str">
        <f>IF(PRENDAS!$B93="","",PRENDAS!$I93)</f>
        <v/>
      </c>
      <c r="I115" s="21" t="str">
        <f>IF(PRENDAS!$B93="","",PRENDAS!$J93)</f>
        <v/>
      </c>
      <c r="J115" s="21" t="str">
        <f>IF(PRENDAS!$B93="","",PRENDAS!$P93)</f>
        <v/>
      </c>
    </row>
    <row r="116" ht="15.0" customHeight="1">
      <c r="A116" s="30" t="str">
        <f>IF(PRENDAS!$B94="","",PRENDAS!$A94)</f>
        <v/>
      </c>
      <c r="B116" s="21" t="str">
        <f>IF(PRENDAS!$B94="","",PRENDAS!$B94)</f>
        <v/>
      </c>
      <c r="C116" s="21" t="str">
        <f>IF(PRENDAS!$B94="","",PRENDAS!$D94)</f>
        <v/>
      </c>
      <c r="D116" s="30" t="str">
        <f>IF(PRENDAS!$B94="","",PRENDAS!$E94)</f>
        <v/>
      </c>
      <c r="E116" s="30" t="str">
        <f>IF(PRENDAS!$B94="","",PRENDAS!$F94)</f>
        <v/>
      </c>
      <c r="F116" s="21" t="str">
        <f>IF(PRENDAS!$B94="","",PRENDAS!$G94)</f>
        <v/>
      </c>
      <c r="G116" s="21" t="str">
        <f>IF(PRENDAS!$B94="","",PRENDAS!$H94)</f>
        <v/>
      </c>
      <c r="H116" s="21" t="str">
        <f>IF(PRENDAS!$B94="","",PRENDAS!$I94)</f>
        <v/>
      </c>
      <c r="I116" s="21" t="str">
        <f>IF(PRENDAS!$B94="","",PRENDAS!$J94)</f>
        <v/>
      </c>
      <c r="J116" s="21" t="str">
        <f>IF(PRENDAS!$B94="","",PRENDAS!$P94)</f>
        <v/>
      </c>
    </row>
    <row r="117" ht="15.0" customHeight="1">
      <c r="A117" s="30" t="str">
        <f>IF(PRENDAS!$B95="","",PRENDAS!$A95)</f>
        <v/>
      </c>
      <c r="B117" s="21" t="str">
        <f>IF(PRENDAS!$B95="","",PRENDAS!$B95)</f>
        <v/>
      </c>
      <c r="C117" s="21" t="str">
        <f>IF(PRENDAS!$B95="","",PRENDAS!$D95)</f>
        <v/>
      </c>
      <c r="D117" s="30" t="str">
        <f>IF(PRENDAS!$B95="","",PRENDAS!$E95)</f>
        <v/>
      </c>
      <c r="E117" s="30" t="str">
        <f>IF(PRENDAS!$B95="","",PRENDAS!$F95)</f>
        <v/>
      </c>
      <c r="F117" s="21" t="str">
        <f>IF(PRENDAS!$B95="","",PRENDAS!$G95)</f>
        <v/>
      </c>
      <c r="G117" s="21" t="str">
        <f>IF(PRENDAS!$B95="","",PRENDAS!$H95)</f>
        <v/>
      </c>
      <c r="H117" s="21" t="str">
        <f>IF(PRENDAS!$B95="","",PRENDAS!$I95)</f>
        <v/>
      </c>
      <c r="I117" s="21" t="str">
        <f>IF(PRENDAS!$B95="","",PRENDAS!$J95)</f>
        <v/>
      </c>
      <c r="J117" s="21" t="str">
        <f>IF(PRENDAS!$B95="","",PRENDAS!$P95)</f>
        <v/>
      </c>
    </row>
    <row r="118" ht="15.0" customHeight="1">
      <c r="A118" s="30" t="str">
        <f>IF(PRENDAS!$B96="","",PRENDAS!$A96)</f>
        <v/>
      </c>
      <c r="B118" s="21" t="str">
        <f>IF(PRENDAS!$B96="","",PRENDAS!$B96)</f>
        <v/>
      </c>
      <c r="C118" s="21" t="str">
        <f>IF(PRENDAS!$B96="","",PRENDAS!$D96)</f>
        <v/>
      </c>
      <c r="D118" s="30" t="str">
        <f>IF(PRENDAS!$B96="","",PRENDAS!$E96)</f>
        <v/>
      </c>
      <c r="E118" s="30" t="str">
        <f>IF(PRENDAS!$B96="","",PRENDAS!$F96)</f>
        <v/>
      </c>
      <c r="F118" s="21" t="str">
        <f>IF(PRENDAS!$B96="","",PRENDAS!$G96)</f>
        <v/>
      </c>
      <c r="G118" s="21" t="str">
        <f>IF(PRENDAS!$B96="","",PRENDAS!$H96)</f>
        <v/>
      </c>
      <c r="H118" s="21" t="str">
        <f>IF(PRENDAS!$B96="","",PRENDAS!$I96)</f>
        <v/>
      </c>
      <c r="I118" s="21" t="str">
        <f>IF(PRENDAS!$B96="","",PRENDAS!$J96)</f>
        <v/>
      </c>
      <c r="J118" s="21" t="str">
        <f>IF(PRENDAS!$B96="","",PRENDAS!$P96)</f>
        <v/>
      </c>
    </row>
    <row r="119" ht="15.0" customHeight="1">
      <c r="A119" s="30" t="str">
        <f>IF(PRENDAS!$B97="","",PRENDAS!$A97)</f>
        <v/>
      </c>
      <c r="B119" s="21" t="str">
        <f>IF(PRENDAS!$B97="","",PRENDAS!$B97)</f>
        <v/>
      </c>
      <c r="C119" s="21" t="str">
        <f>IF(PRENDAS!$B97="","",PRENDAS!$D97)</f>
        <v/>
      </c>
      <c r="D119" s="30" t="str">
        <f>IF(PRENDAS!$B97="","",PRENDAS!$E97)</f>
        <v/>
      </c>
      <c r="E119" s="30" t="str">
        <f>IF(PRENDAS!$B97="","",PRENDAS!$F97)</f>
        <v/>
      </c>
      <c r="F119" s="21" t="str">
        <f>IF(PRENDAS!$B97="","",PRENDAS!$G97)</f>
        <v/>
      </c>
      <c r="G119" s="21" t="str">
        <f>IF(PRENDAS!$B97="","",PRENDAS!$H97)</f>
        <v/>
      </c>
      <c r="H119" s="21" t="str">
        <f>IF(PRENDAS!$B97="","",PRENDAS!$I97)</f>
        <v/>
      </c>
      <c r="I119" s="21" t="str">
        <f>IF(PRENDAS!$B97="","",PRENDAS!$J97)</f>
        <v/>
      </c>
      <c r="J119" s="21" t="str">
        <f>IF(PRENDAS!$B97="","",PRENDAS!$P97)</f>
        <v/>
      </c>
    </row>
    <row r="120" ht="15.0" customHeight="1">
      <c r="A120" s="30" t="str">
        <f>IF(PRENDAS!$B98="","",PRENDAS!$A98)</f>
        <v/>
      </c>
      <c r="B120" s="21" t="str">
        <f>IF(PRENDAS!$B98="","",PRENDAS!$B98)</f>
        <v/>
      </c>
      <c r="C120" s="21" t="str">
        <f>IF(PRENDAS!$B98="","",PRENDAS!$D98)</f>
        <v/>
      </c>
      <c r="D120" s="30" t="str">
        <f>IF(PRENDAS!$B98="","",PRENDAS!$E98)</f>
        <v/>
      </c>
      <c r="E120" s="30" t="str">
        <f>IF(PRENDAS!$B98="","",PRENDAS!$F98)</f>
        <v/>
      </c>
      <c r="F120" s="21" t="str">
        <f>IF(PRENDAS!$B98="","",PRENDAS!$G98)</f>
        <v/>
      </c>
      <c r="G120" s="21" t="str">
        <f>IF(PRENDAS!$B98="","",PRENDAS!$H98)</f>
        <v/>
      </c>
      <c r="H120" s="21" t="str">
        <f>IF(PRENDAS!$B98="","",PRENDAS!$I98)</f>
        <v/>
      </c>
      <c r="I120" s="21" t="str">
        <f>IF(PRENDAS!$B98="","",PRENDAS!$J98)</f>
        <v/>
      </c>
      <c r="J120" s="21" t="str">
        <f>IF(PRENDAS!$B98="","",PRENDAS!$P98)</f>
        <v/>
      </c>
    </row>
    <row r="121" ht="15.0" customHeight="1">
      <c r="A121" s="30" t="str">
        <f>IF(PRENDAS!$B99="","",PRENDAS!$A99)</f>
        <v/>
      </c>
      <c r="B121" s="21" t="str">
        <f>IF(PRENDAS!$B99="","",PRENDAS!$B99)</f>
        <v/>
      </c>
      <c r="C121" s="21" t="str">
        <f>IF(PRENDAS!$B99="","",PRENDAS!$D99)</f>
        <v/>
      </c>
      <c r="D121" s="30" t="str">
        <f>IF(PRENDAS!$B99="","",PRENDAS!$E99)</f>
        <v/>
      </c>
      <c r="E121" s="30" t="str">
        <f>IF(PRENDAS!$B99="","",PRENDAS!$F99)</f>
        <v/>
      </c>
      <c r="F121" s="21" t="str">
        <f>IF(PRENDAS!$B99="","",PRENDAS!$G99)</f>
        <v/>
      </c>
      <c r="G121" s="21" t="str">
        <f>IF(PRENDAS!$B99="","",PRENDAS!$H99)</f>
        <v/>
      </c>
      <c r="H121" s="21" t="str">
        <f>IF(PRENDAS!$B99="","",PRENDAS!$I99)</f>
        <v/>
      </c>
      <c r="I121" s="21" t="str">
        <f>IF(PRENDAS!$B99="","",PRENDAS!$J99)</f>
        <v/>
      </c>
      <c r="J121" s="21" t="str">
        <f>IF(PRENDAS!$B99="","",PRENDAS!$P99)</f>
        <v/>
      </c>
    </row>
    <row r="122" ht="15.0" customHeight="1">
      <c r="A122" s="30" t="str">
        <f>IF(PRENDAS!$B100="","",PRENDAS!$A100)</f>
        <v/>
      </c>
      <c r="B122" s="21" t="str">
        <f>IF(PRENDAS!$B100="","",PRENDAS!$B100)</f>
        <v/>
      </c>
      <c r="C122" s="21" t="str">
        <f>IF(PRENDAS!$B100="","",PRENDAS!$D100)</f>
        <v/>
      </c>
      <c r="D122" s="30" t="str">
        <f>IF(PRENDAS!$B100="","",PRENDAS!$E100)</f>
        <v/>
      </c>
      <c r="E122" s="30" t="str">
        <f>IF(PRENDAS!$B100="","",PRENDAS!$F100)</f>
        <v/>
      </c>
      <c r="F122" s="21" t="str">
        <f>IF(PRENDAS!$B100="","",PRENDAS!$G100)</f>
        <v/>
      </c>
      <c r="G122" s="21" t="str">
        <f>IF(PRENDAS!$B100="","",PRENDAS!$H100)</f>
        <v/>
      </c>
      <c r="H122" s="21" t="str">
        <f>IF(PRENDAS!$B100="","",PRENDAS!$I100)</f>
        <v/>
      </c>
      <c r="I122" s="21" t="str">
        <f>IF(PRENDAS!$B100="","",PRENDAS!$J100)</f>
        <v/>
      </c>
      <c r="J122" s="21" t="str">
        <f>IF(PRENDAS!$B100="","",PRENDAS!$P100)</f>
        <v/>
      </c>
    </row>
    <row r="123" ht="15.0" customHeight="1">
      <c r="A123" s="30" t="str">
        <f>IF(PRENDAS!$B101="","",PRENDAS!$A101)</f>
        <v/>
      </c>
      <c r="B123" s="21" t="str">
        <f>IF(PRENDAS!$B101="","",PRENDAS!$B101)</f>
        <v/>
      </c>
      <c r="C123" s="21" t="str">
        <f>IF(PRENDAS!$B101="","",PRENDAS!$D101)</f>
        <v/>
      </c>
      <c r="D123" s="30" t="str">
        <f>IF(PRENDAS!$B101="","",PRENDAS!$E101)</f>
        <v/>
      </c>
      <c r="E123" s="30" t="str">
        <f>IF(PRENDAS!$B101="","",PRENDAS!$F101)</f>
        <v/>
      </c>
      <c r="F123" s="21" t="str">
        <f>IF(PRENDAS!$B101="","",PRENDAS!$G101)</f>
        <v/>
      </c>
      <c r="G123" s="21" t="str">
        <f>IF(PRENDAS!$B101="","",PRENDAS!$H101)</f>
        <v/>
      </c>
      <c r="H123" s="21" t="str">
        <f>IF(PRENDAS!$B101="","",PRENDAS!$I101)</f>
        <v/>
      </c>
      <c r="I123" s="21" t="str">
        <f>IF(PRENDAS!$B101="","",PRENDAS!$J101)</f>
        <v/>
      </c>
      <c r="J123" s="21" t="str">
        <f>IF(PRENDAS!$B101="","",PRENDAS!$P101)</f>
        <v/>
      </c>
    </row>
    <row r="124" ht="15.0" customHeight="1">
      <c r="A124" s="30" t="str">
        <f>IF(PRENDAS!$B102="","",PRENDAS!$A102)</f>
        <v/>
      </c>
      <c r="B124" s="21" t="str">
        <f>IF(PRENDAS!$B102="","",PRENDAS!$B102)</f>
        <v/>
      </c>
      <c r="C124" s="21" t="str">
        <f>IF(PRENDAS!$B102="","",PRENDAS!$D102)</f>
        <v/>
      </c>
      <c r="D124" s="30" t="str">
        <f>IF(PRENDAS!$B102="","",PRENDAS!$E102)</f>
        <v/>
      </c>
      <c r="E124" s="30" t="str">
        <f>IF(PRENDAS!$B102="","",PRENDAS!$F102)</f>
        <v/>
      </c>
      <c r="F124" s="21" t="str">
        <f>IF(PRENDAS!$B102="","",PRENDAS!$G102)</f>
        <v/>
      </c>
      <c r="G124" s="21" t="str">
        <f>IF(PRENDAS!$B102="","",PRENDAS!$H102)</f>
        <v/>
      </c>
      <c r="H124" s="21" t="str">
        <f>IF(PRENDAS!$B102="","",PRENDAS!$I102)</f>
        <v/>
      </c>
      <c r="I124" s="21" t="str">
        <f>IF(PRENDAS!$B102="","",PRENDAS!$J102)</f>
        <v/>
      </c>
      <c r="J124" s="21" t="str">
        <f>IF(PRENDAS!$B102="","",PRENDAS!$P102)</f>
        <v/>
      </c>
    </row>
    <row r="125" ht="15.0" customHeight="1">
      <c r="A125" s="30" t="str">
        <f>IF(PRENDAS!$B103="","",PRENDAS!$A103)</f>
        <v/>
      </c>
      <c r="B125" s="21" t="str">
        <f>IF(PRENDAS!$B103="","",PRENDAS!$B103)</f>
        <v/>
      </c>
      <c r="C125" s="21" t="str">
        <f>IF(PRENDAS!$B103="","",PRENDAS!$D103)</f>
        <v/>
      </c>
      <c r="D125" s="30" t="str">
        <f>IF(PRENDAS!$B103="","",PRENDAS!$E103)</f>
        <v/>
      </c>
      <c r="E125" s="30" t="str">
        <f>IF(PRENDAS!$B103="","",PRENDAS!$F103)</f>
        <v/>
      </c>
      <c r="F125" s="21" t="str">
        <f>IF(PRENDAS!$B103="","",PRENDAS!$G103)</f>
        <v/>
      </c>
      <c r="G125" s="21" t="str">
        <f>IF(PRENDAS!$B103="","",PRENDAS!$H103)</f>
        <v/>
      </c>
      <c r="H125" s="21" t="str">
        <f>IF(PRENDAS!$B103="","",PRENDAS!$I103)</f>
        <v/>
      </c>
      <c r="I125" s="21" t="str">
        <f>IF(PRENDAS!$B103="","",PRENDAS!$J103)</f>
        <v/>
      </c>
      <c r="J125" s="21" t="str">
        <f>IF(PRENDAS!$B103="","",PRENDAS!$P103)</f>
        <v/>
      </c>
    </row>
    <row r="126" ht="15.0" customHeight="1">
      <c r="A126" s="30" t="str">
        <f>IF(PRENDAS!$B104="","",PRENDAS!$A104)</f>
        <v/>
      </c>
      <c r="B126" s="21" t="str">
        <f>IF(PRENDAS!$B104="","",PRENDAS!$B104)</f>
        <v/>
      </c>
      <c r="C126" s="21" t="str">
        <f>IF(PRENDAS!$B104="","",PRENDAS!$D104)</f>
        <v/>
      </c>
      <c r="D126" s="30" t="str">
        <f>IF(PRENDAS!$B104="","",PRENDAS!$E104)</f>
        <v/>
      </c>
      <c r="E126" s="30" t="str">
        <f>IF(PRENDAS!$B104="","",PRENDAS!$F104)</f>
        <v/>
      </c>
      <c r="F126" s="21" t="str">
        <f>IF(PRENDAS!$B104="","",PRENDAS!$G104)</f>
        <v/>
      </c>
      <c r="G126" s="21" t="str">
        <f>IF(PRENDAS!$B104="","",PRENDAS!$H104)</f>
        <v/>
      </c>
      <c r="H126" s="21" t="str">
        <f>IF(PRENDAS!$B104="","",PRENDAS!$I104)</f>
        <v/>
      </c>
      <c r="I126" s="21" t="str">
        <f>IF(PRENDAS!$B104="","",PRENDAS!$J104)</f>
        <v/>
      </c>
      <c r="J126" s="21" t="str">
        <f>IF(PRENDAS!$B104="","",PRENDAS!$P104)</f>
        <v/>
      </c>
    </row>
    <row r="127" ht="15.0" customHeight="1">
      <c r="A127" s="30" t="str">
        <f>IF(PRENDAS!$B105="","",PRENDAS!$A105)</f>
        <v/>
      </c>
      <c r="B127" s="21" t="str">
        <f>IF(PRENDAS!$B105="","",PRENDAS!$B105)</f>
        <v/>
      </c>
      <c r="C127" s="21" t="str">
        <f>IF(PRENDAS!$B105="","",PRENDAS!$D105)</f>
        <v/>
      </c>
      <c r="D127" s="30" t="str">
        <f>IF(PRENDAS!$B105="","",PRENDAS!$E105)</f>
        <v/>
      </c>
      <c r="E127" s="30" t="str">
        <f>IF(PRENDAS!$B105="","",PRENDAS!$F105)</f>
        <v/>
      </c>
      <c r="F127" s="21" t="str">
        <f>IF(PRENDAS!$B105="","",PRENDAS!$G105)</f>
        <v/>
      </c>
      <c r="G127" s="21" t="str">
        <f>IF(PRENDAS!$B105="","",PRENDAS!$H105)</f>
        <v/>
      </c>
      <c r="H127" s="21" t="str">
        <f>IF(PRENDAS!$B105="","",PRENDAS!$I105)</f>
        <v/>
      </c>
      <c r="I127" s="21" t="str">
        <f>IF(PRENDAS!$B105="","",PRENDAS!$J105)</f>
        <v/>
      </c>
      <c r="J127" s="21" t="str">
        <f>IF(PRENDAS!$B105="","",PRENDAS!$P105)</f>
        <v/>
      </c>
    </row>
    <row r="128" ht="15.0" customHeight="1">
      <c r="A128" s="30" t="str">
        <f>IF(PRENDAS!$B106="","",PRENDAS!$A106)</f>
        <v/>
      </c>
      <c r="B128" s="21" t="str">
        <f>IF(PRENDAS!$B106="","",PRENDAS!$B106)</f>
        <v/>
      </c>
      <c r="C128" s="21" t="str">
        <f>IF(PRENDAS!$B106="","",PRENDAS!$D106)</f>
        <v/>
      </c>
      <c r="D128" s="30" t="str">
        <f>IF(PRENDAS!$B106="","",PRENDAS!$E106)</f>
        <v/>
      </c>
      <c r="E128" s="30" t="str">
        <f>IF(PRENDAS!$B106="","",PRENDAS!$F106)</f>
        <v/>
      </c>
      <c r="F128" s="21" t="str">
        <f>IF(PRENDAS!$B106="","",PRENDAS!$G106)</f>
        <v/>
      </c>
      <c r="G128" s="21" t="str">
        <f>IF(PRENDAS!$B106="","",PRENDAS!$H106)</f>
        <v/>
      </c>
      <c r="H128" s="21" t="str">
        <f>IF(PRENDAS!$B106="","",PRENDAS!$I106)</f>
        <v/>
      </c>
      <c r="I128" s="21" t="str">
        <f>IF(PRENDAS!$B106="","",PRENDAS!$J106)</f>
        <v/>
      </c>
      <c r="J128" s="21" t="str">
        <f>IF(PRENDAS!$B106="","",PRENDAS!$P106)</f>
        <v/>
      </c>
    </row>
    <row r="129" ht="15.0" customHeight="1">
      <c r="A129" s="30" t="str">
        <f>IF(PRENDAS!$B107="","",PRENDAS!$A107)</f>
        <v/>
      </c>
      <c r="B129" s="21" t="str">
        <f>IF(PRENDAS!$B107="","",PRENDAS!$B107)</f>
        <v/>
      </c>
      <c r="C129" s="21" t="str">
        <f>IF(PRENDAS!$B107="","",PRENDAS!$D107)</f>
        <v/>
      </c>
      <c r="D129" s="30" t="str">
        <f>IF(PRENDAS!$B107="","",PRENDAS!$E107)</f>
        <v/>
      </c>
      <c r="E129" s="30" t="str">
        <f>IF(PRENDAS!$B107="","",PRENDAS!$F107)</f>
        <v/>
      </c>
      <c r="F129" s="21" t="str">
        <f>IF(PRENDAS!$B107="","",PRENDAS!$G107)</f>
        <v/>
      </c>
      <c r="G129" s="21" t="str">
        <f>IF(PRENDAS!$B107="","",PRENDAS!$H107)</f>
        <v/>
      </c>
      <c r="H129" s="21" t="str">
        <f>IF(PRENDAS!$B107="","",PRENDAS!$I107)</f>
        <v/>
      </c>
      <c r="I129" s="21" t="str">
        <f>IF(PRENDAS!$B107="","",PRENDAS!$J107)</f>
        <v/>
      </c>
      <c r="J129" s="21" t="str">
        <f>IF(PRENDAS!$B107="","",PRENDAS!$P107)</f>
        <v/>
      </c>
    </row>
    <row r="130" ht="15.0" customHeight="1">
      <c r="A130" s="30" t="str">
        <f>IF(PRENDAS!$B108="","",PRENDAS!$A108)</f>
        <v/>
      </c>
      <c r="B130" s="21" t="str">
        <f>IF(PRENDAS!$B108="","",PRENDAS!$B108)</f>
        <v/>
      </c>
      <c r="C130" s="21" t="str">
        <f>IF(PRENDAS!$B108="","",PRENDAS!$D108)</f>
        <v/>
      </c>
      <c r="D130" s="30" t="str">
        <f>IF(PRENDAS!$B108="","",PRENDAS!$E108)</f>
        <v/>
      </c>
      <c r="E130" s="30" t="str">
        <f>IF(PRENDAS!$B108="","",PRENDAS!$F108)</f>
        <v/>
      </c>
      <c r="F130" s="21" t="str">
        <f>IF(PRENDAS!$B108="","",PRENDAS!$G108)</f>
        <v/>
      </c>
      <c r="G130" s="21" t="str">
        <f>IF(PRENDAS!$B108="","",PRENDAS!$H108)</f>
        <v/>
      </c>
      <c r="H130" s="21" t="str">
        <f>IF(PRENDAS!$B108="","",PRENDAS!$I108)</f>
        <v/>
      </c>
      <c r="I130" s="21" t="str">
        <f>IF(PRENDAS!$B108="","",PRENDAS!$J108)</f>
        <v/>
      </c>
      <c r="J130" s="21" t="str">
        <f>IF(PRENDAS!$B108="","",PRENDAS!$P108)</f>
        <v/>
      </c>
    </row>
    <row r="131" ht="15.0" customHeight="1">
      <c r="A131" s="30" t="str">
        <f>IF(PRENDAS!$B109="","",PRENDAS!$A109)</f>
        <v/>
      </c>
      <c r="B131" s="21" t="str">
        <f>IF(PRENDAS!$B109="","",PRENDAS!$B109)</f>
        <v/>
      </c>
      <c r="C131" s="21" t="str">
        <f>IF(PRENDAS!$B109="","",PRENDAS!$D109)</f>
        <v/>
      </c>
      <c r="D131" s="30" t="str">
        <f>IF(PRENDAS!$B109="","",PRENDAS!$E109)</f>
        <v/>
      </c>
      <c r="E131" s="30" t="str">
        <f>IF(PRENDAS!$B109="","",PRENDAS!$F109)</f>
        <v/>
      </c>
      <c r="F131" s="21" t="str">
        <f>IF(PRENDAS!$B109="","",PRENDAS!$G109)</f>
        <v/>
      </c>
      <c r="G131" s="21" t="str">
        <f>IF(PRENDAS!$B109="","",PRENDAS!$H109)</f>
        <v/>
      </c>
      <c r="H131" s="21" t="str">
        <f>IF(PRENDAS!$B109="","",PRENDAS!$I109)</f>
        <v/>
      </c>
      <c r="I131" s="21" t="str">
        <f>IF(PRENDAS!$B109="","",PRENDAS!$J109)</f>
        <v/>
      </c>
      <c r="J131" s="21" t="str">
        <f>IF(PRENDAS!$B109="","",PRENDAS!$P109)</f>
        <v/>
      </c>
    </row>
    <row r="132" ht="15.0" customHeight="1">
      <c r="A132" s="30" t="str">
        <f>IF(PRENDAS!$B110="","",PRENDAS!$A110)</f>
        <v/>
      </c>
      <c r="B132" s="21" t="str">
        <f>IF(PRENDAS!$B110="","",PRENDAS!$B110)</f>
        <v/>
      </c>
      <c r="C132" s="21" t="str">
        <f>IF(PRENDAS!$B110="","",PRENDAS!$D110)</f>
        <v/>
      </c>
      <c r="D132" s="30" t="str">
        <f>IF(PRENDAS!$B110="","",PRENDAS!$E110)</f>
        <v/>
      </c>
      <c r="E132" s="30" t="str">
        <f>IF(PRENDAS!$B110="","",PRENDAS!$F110)</f>
        <v/>
      </c>
      <c r="F132" s="21" t="str">
        <f>IF(PRENDAS!$B110="","",PRENDAS!$G110)</f>
        <v/>
      </c>
      <c r="G132" s="21" t="str">
        <f>IF(PRENDAS!$B110="","",PRENDAS!$H110)</f>
        <v/>
      </c>
      <c r="H132" s="21" t="str">
        <f>IF(PRENDAS!$B110="","",PRENDAS!$I110)</f>
        <v/>
      </c>
      <c r="I132" s="21" t="str">
        <f>IF(PRENDAS!$B110="","",PRENDAS!$J110)</f>
        <v/>
      </c>
      <c r="J132" s="21" t="str">
        <f>IF(PRENDAS!$B110="","",PRENDAS!$P110)</f>
        <v/>
      </c>
    </row>
    <row r="133" ht="15.0" customHeight="1">
      <c r="A133" s="30" t="str">
        <f>IF(PRENDAS!$B111="","",PRENDAS!$A111)</f>
        <v/>
      </c>
      <c r="B133" s="21" t="str">
        <f>IF(PRENDAS!$B111="","",PRENDAS!$B111)</f>
        <v/>
      </c>
      <c r="C133" s="21" t="str">
        <f>IF(PRENDAS!$B111="","",PRENDAS!$D111)</f>
        <v/>
      </c>
      <c r="D133" s="30" t="str">
        <f>IF(PRENDAS!$B111="","",PRENDAS!$E111)</f>
        <v/>
      </c>
      <c r="E133" s="30" t="str">
        <f>IF(PRENDAS!$B111="","",PRENDAS!$F111)</f>
        <v/>
      </c>
      <c r="F133" s="21" t="str">
        <f>IF(PRENDAS!$B111="","",PRENDAS!$G111)</f>
        <v/>
      </c>
      <c r="G133" s="21" t="str">
        <f>IF(PRENDAS!$B111="","",PRENDAS!$H111)</f>
        <v/>
      </c>
      <c r="H133" s="21" t="str">
        <f>IF(PRENDAS!$B111="","",PRENDAS!$I111)</f>
        <v/>
      </c>
      <c r="I133" s="21" t="str">
        <f>IF(PRENDAS!$B111="","",PRENDAS!$J111)</f>
        <v/>
      </c>
      <c r="J133" s="21" t="str">
        <f>IF(PRENDAS!$B111="","",PRENDAS!$P111)</f>
        <v/>
      </c>
    </row>
    <row r="134" ht="15.0" customHeight="1">
      <c r="A134" s="30" t="str">
        <f>IF(PRENDAS!$B112="","",PRENDAS!$A112)</f>
        <v/>
      </c>
      <c r="B134" s="21" t="str">
        <f>IF(PRENDAS!$B112="","",PRENDAS!$B112)</f>
        <v/>
      </c>
      <c r="C134" s="21" t="str">
        <f>IF(PRENDAS!$B112="","",PRENDAS!$D112)</f>
        <v/>
      </c>
      <c r="D134" s="30" t="str">
        <f>IF(PRENDAS!$B112="","",PRENDAS!$E112)</f>
        <v/>
      </c>
      <c r="E134" s="30" t="str">
        <f>IF(PRENDAS!$B112="","",PRENDAS!$F112)</f>
        <v/>
      </c>
      <c r="F134" s="21" t="str">
        <f>IF(PRENDAS!$B112="","",PRENDAS!$G112)</f>
        <v/>
      </c>
      <c r="G134" s="21" t="str">
        <f>IF(PRENDAS!$B112="","",PRENDAS!$H112)</f>
        <v/>
      </c>
      <c r="H134" s="21" t="str">
        <f>IF(PRENDAS!$B112="","",PRENDAS!$I112)</f>
        <v/>
      </c>
      <c r="I134" s="21" t="str">
        <f>IF(PRENDAS!$B112="","",PRENDAS!$J112)</f>
        <v/>
      </c>
      <c r="J134" s="21" t="str">
        <f>IF(PRENDAS!$B112="","",PRENDAS!$P112)</f>
        <v/>
      </c>
    </row>
    <row r="135" ht="15.0" customHeight="1">
      <c r="A135" s="30" t="str">
        <f>IF(PRENDAS!$B113="","",PRENDAS!$A113)</f>
        <v/>
      </c>
      <c r="B135" s="21" t="str">
        <f>IF(PRENDAS!$B113="","",PRENDAS!$B113)</f>
        <v/>
      </c>
      <c r="C135" s="21" t="str">
        <f>IF(PRENDAS!$B113="","",PRENDAS!$D113)</f>
        <v/>
      </c>
      <c r="D135" s="30" t="str">
        <f>IF(PRENDAS!$B113="","",PRENDAS!$E113)</f>
        <v/>
      </c>
      <c r="E135" s="30" t="str">
        <f>IF(PRENDAS!$B113="","",PRENDAS!$F113)</f>
        <v/>
      </c>
      <c r="F135" s="21" t="str">
        <f>IF(PRENDAS!$B113="","",PRENDAS!$G113)</f>
        <v/>
      </c>
      <c r="G135" s="21" t="str">
        <f>IF(PRENDAS!$B113="","",PRENDAS!$H113)</f>
        <v/>
      </c>
      <c r="H135" s="21" t="str">
        <f>IF(PRENDAS!$B113="","",PRENDAS!$I113)</f>
        <v/>
      </c>
      <c r="I135" s="21" t="str">
        <f>IF(PRENDAS!$B113="","",PRENDAS!$J113)</f>
        <v/>
      </c>
      <c r="J135" s="21" t="str">
        <f>IF(PRENDAS!$B113="","",PRENDAS!$P113)</f>
        <v/>
      </c>
    </row>
    <row r="136" ht="15.0" customHeight="1">
      <c r="A136" s="30" t="str">
        <f>IF(PRENDAS!$B114="","",PRENDAS!$A114)</f>
        <v/>
      </c>
      <c r="B136" s="21" t="str">
        <f>IF(PRENDAS!$B114="","",PRENDAS!$B114)</f>
        <v/>
      </c>
      <c r="C136" s="21" t="str">
        <f>IF(PRENDAS!$B114="","",PRENDAS!$D114)</f>
        <v/>
      </c>
      <c r="D136" s="30" t="str">
        <f>IF(PRENDAS!$B114="","",PRENDAS!$E114)</f>
        <v/>
      </c>
      <c r="E136" s="30" t="str">
        <f>IF(PRENDAS!$B114="","",PRENDAS!$F114)</f>
        <v/>
      </c>
      <c r="F136" s="21" t="str">
        <f>IF(PRENDAS!$B114="","",PRENDAS!$G114)</f>
        <v/>
      </c>
      <c r="G136" s="21" t="str">
        <f>IF(PRENDAS!$B114="","",PRENDAS!$H114)</f>
        <v/>
      </c>
      <c r="H136" s="21" t="str">
        <f>IF(PRENDAS!$B114="","",PRENDAS!$I114)</f>
        <v/>
      </c>
      <c r="I136" s="21" t="str">
        <f>IF(PRENDAS!$B114="","",PRENDAS!$J114)</f>
        <v/>
      </c>
      <c r="J136" s="21" t="str">
        <f>IF(PRENDAS!$B114="","",PRENDAS!$P114)</f>
        <v/>
      </c>
    </row>
    <row r="137" ht="15.0" customHeight="1">
      <c r="A137" s="30" t="str">
        <f>IF(PRENDAS!$B115="","",PRENDAS!$A115)</f>
        <v/>
      </c>
      <c r="B137" s="21" t="str">
        <f>IF(PRENDAS!$B115="","",PRENDAS!$B115)</f>
        <v/>
      </c>
      <c r="C137" s="21" t="str">
        <f>IF(PRENDAS!$B115="","",PRENDAS!$D115)</f>
        <v/>
      </c>
      <c r="D137" s="30" t="str">
        <f>IF(PRENDAS!$B115="","",PRENDAS!$E115)</f>
        <v/>
      </c>
      <c r="E137" s="30" t="str">
        <f>IF(PRENDAS!$B115="","",PRENDAS!$F115)</f>
        <v/>
      </c>
      <c r="F137" s="21" t="str">
        <f>IF(PRENDAS!$B115="","",PRENDAS!$G115)</f>
        <v/>
      </c>
      <c r="G137" s="21" t="str">
        <f>IF(PRENDAS!$B115="","",PRENDAS!$H115)</f>
        <v/>
      </c>
      <c r="H137" s="21" t="str">
        <f>IF(PRENDAS!$B115="","",PRENDAS!$I115)</f>
        <v/>
      </c>
      <c r="I137" s="21" t="str">
        <f>IF(PRENDAS!$B115="","",PRENDAS!$J115)</f>
        <v/>
      </c>
      <c r="J137" s="21" t="str">
        <f>IF(PRENDAS!$B115="","",PRENDAS!$P115)</f>
        <v/>
      </c>
    </row>
    <row r="138" ht="15.0" customHeight="1">
      <c r="A138" s="30" t="str">
        <f>IF(PRENDAS!$B116="","",PRENDAS!$A116)</f>
        <v/>
      </c>
      <c r="B138" s="21" t="str">
        <f>IF(PRENDAS!$B116="","",PRENDAS!$B116)</f>
        <v/>
      </c>
      <c r="C138" s="21" t="str">
        <f>IF(PRENDAS!$B116="","",PRENDAS!$D116)</f>
        <v/>
      </c>
      <c r="D138" s="30" t="str">
        <f>IF(PRENDAS!$B116="","",PRENDAS!$E116)</f>
        <v/>
      </c>
      <c r="E138" s="30" t="str">
        <f>IF(PRENDAS!$B116="","",PRENDAS!$F116)</f>
        <v/>
      </c>
      <c r="F138" s="21" t="str">
        <f>IF(PRENDAS!$B116="","",PRENDAS!$G116)</f>
        <v/>
      </c>
      <c r="G138" s="21" t="str">
        <f>IF(PRENDAS!$B116="","",PRENDAS!$H116)</f>
        <v/>
      </c>
      <c r="H138" s="21" t="str">
        <f>IF(PRENDAS!$B116="","",PRENDAS!$I116)</f>
        <v/>
      </c>
      <c r="I138" s="21" t="str">
        <f>IF(PRENDAS!$B116="","",PRENDAS!$J116)</f>
        <v/>
      </c>
      <c r="J138" s="21" t="str">
        <f>IF(PRENDAS!$B116="","",PRENDAS!$P116)</f>
        <v/>
      </c>
    </row>
    <row r="139" ht="15.0" customHeight="1">
      <c r="A139" s="30" t="str">
        <f>IF(PRENDAS!$B117="","",PRENDAS!$A117)</f>
        <v/>
      </c>
      <c r="B139" s="21" t="str">
        <f>IF(PRENDAS!$B117="","",PRENDAS!$B117)</f>
        <v/>
      </c>
      <c r="C139" s="21" t="str">
        <f>IF(PRENDAS!$B117="","",PRENDAS!$D117)</f>
        <v/>
      </c>
      <c r="D139" s="30" t="str">
        <f>IF(PRENDAS!$B117="","",PRENDAS!$E117)</f>
        <v/>
      </c>
      <c r="E139" s="30" t="str">
        <f>IF(PRENDAS!$B117="","",PRENDAS!$F117)</f>
        <v/>
      </c>
      <c r="F139" s="21" t="str">
        <f>IF(PRENDAS!$B117="","",PRENDAS!$G117)</f>
        <v/>
      </c>
      <c r="G139" s="21" t="str">
        <f>IF(PRENDAS!$B117="","",PRENDAS!$H117)</f>
        <v/>
      </c>
      <c r="H139" s="21" t="str">
        <f>IF(PRENDAS!$B117="","",PRENDAS!$I117)</f>
        <v/>
      </c>
      <c r="I139" s="21" t="str">
        <f>IF(PRENDAS!$B117="","",PRENDAS!$J117)</f>
        <v/>
      </c>
      <c r="J139" s="21" t="str">
        <f>IF(PRENDAS!$B117="","",PRENDAS!$P117)</f>
        <v/>
      </c>
    </row>
    <row r="140" ht="15.0" customHeight="1">
      <c r="A140" s="30" t="str">
        <f>IF(PRENDAS!$B118="","",PRENDAS!$A118)</f>
        <v/>
      </c>
      <c r="B140" s="21" t="str">
        <f>IF(PRENDAS!$B118="","",PRENDAS!$B118)</f>
        <v/>
      </c>
      <c r="C140" s="21" t="str">
        <f>IF(PRENDAS!$B118="","",PRENDAS!$D118)</f>
        <v/>
      </c>
      <c r="D140" s="30" t="str">
        <f>IF(PRENDAS!$B118="","",PRENDAS!$E118)</f>
        <v/>
      </c>
      <c r="E140" s="30" t="str">
        <f>IF(PRENDAS!$B118="","",PRENDAS!$F118)</f>
        <v/>
      </c>
      <c r="F140" s="21" t="str">
        <f>IF(PRENDAS!$B118="","",PRENDAS!$G118)</f>
        <v/>
      </c>
      <c r="G140" s="21" t="str">
        <f>IF(PRENDAS!$B118="","",PRENDAS!$H118)</f>
        <v/>
      </c>
      <c r="H140" s="21" t="str">
        <f>IF(PRENDAS!$B118="","",PRENDAS!$I118)</f>
        <v/>
      </c>
      <c r="I140" s="21" t="str">
        <f>IF(PRENDAS!$B118="","",PRENDAS!$J118)</f>
        <v/>
      </c>
      <c r="J140" s="21" t="str">
        <f>IF(PRENDAS!$B118="","",PRENDAS!$P118)</f>
        <v/>
      </c>
    </row>
    <row r="141" ht="15.0" customHeight="1">
      <c r="A141" s="30" t="str">
        <f>IF(PRENDAS!$B119="","",PRENDAS!$A119)</f>
        <v/>
      </c>
      <c r="B141" s="21" t="str">
        <f>IF(PRENDAS!$B119="","",PRENDAS!$B119)</f>
        <v/>
      </c>
      <c r="C141" s="21" t="str">
        <f>IF(PRENDAS!$B119="","",PRENDAS!$D119)</f>
        <v/>
      </c>
      <c r="D141" s="30" t="str">
        <f>IF(PRENDAS!$B119="","",PRENDAS!$E119)</f>
        <v/>
      </c>
      <c r="E141" s="30" t="str">
        <f>IF(PRENDAS!$B119="","",PRENDAS!$F119)</f>
        <v/>
      </c>
      <c r="F141" s="21" t="str">
        <f>IF(PRENDAS!$B119="","",PRENDAS!$G119)</f>
        <v/>
      </c>
      <c r="G141" s="21" t="str">
        <f>IF(PRENDAS!$B119="","",PRENDAS!$H119)</f>
        <v/>
      </c>
      <c r="H141" s="21" t="str">
        <f>IF(PRENDAS!$B119="","",PRENDAS!$I119)</f>
        <v/>
      </c>
      <c r="I141" s="21" t="str">
        <f>IF(PRENDAS!$B119="","",PRENDAS!$J119)</f>
        <v/>
      </c>
      <c r="J141" s="21" t="str">
        <f>IF(PRENDAS!$B119="","",PRENDAS!$P119)</f>
        <v/>
      </c>
    </row>
    <row r="142" ht="15.0" customHeight="1">
      <c r="A142" s="30" t="str">
        <f>IF(PRENDAS!$B120="","",PRENDAS!$A120)</f>
        <v/>
      </c>
      <c r="B142" s="21" t="str">
        <f>IF(PRENDAS!$B120="","",PRENDAS!$B120)</f>
        <v/>
      </c>
      <c r="C142" s="21" t="str">
        <f>IF(PRENDAS!$B120="","",PRENDAS!$D120)</f>
        <v/>
      </c>
      <c r="D142" s="30" t="str">
        <f>IF(PRENDAS!$B120="","",PRENDAS!$E120)</f>
        <v/>
      </c>
      <c r="E142" s="30" t="str">
        <f>IF(PRENDAS!$B120="","",PRENDAS!$F120)</f>
        <v/>
      </c>
      <c r="F142" s="21" t="str">
        <f>IF(PRENDAS!$B120="","",PRENDAS!$G120)</f>
        <v/>
      </c>
      <c r="G142" s="21" t="str">
        <f>IF(PRENDAS!$B120="","",PRENDAS!$H120)</f>
        <v/>
      </c>
      <c r="H142" s="21" t="str">
        <f>IF(PRENDAS!$B120="","",PRENDAS!$I120)</f>
        <v/>
      </c>
      <c r="I142" s="21" t="str">
        <f>IF(PRENDAS!$B120="","",PRENDAS!$J120)</f>
        <v/>
      </c>
      <c r="J142" s="21" t="str">
        <f>IF(PRENDAS!$B120="","",PRENDAS!$P120)</f>
        <v/>
      </c>
    </row>
    <row r="143" ht="15.0" customHeight="1">
      <c r="A143" s="30" t="str">
        <f>IF(PRENDAS!$B121="","",PRENDAS!$A121)</f>
        <v/>
      </c>
      <c r="B143" s="21" t="str">
        <f>IF(PRENDAS!$B121="","",PRENDAS!$B121)</f>
        <v/>
      </c>
      <c r="C143" s="21" t="str">
        <f>IF(PRENDAS!$B121="","",PRENDAS!$D121)</f>
        <v/>
      </c>
      <c r="D143" s="30" t="str">
        <f>IF(PRENDAS!$B121="","",PRENDAS!$E121)</f>
        <v/>
      </c>
      <c r="E143" s="30" t="str">
        <f>IF(PRENDAS!$B121="","",PRENDAS!$F121)</f>
        <v/>
      </c>
      <c r="F143" s="21" t="str">
        <f>IF(PRENDAS!$B121="","",PRENDAS!$G121)</f>
        <v/>
      </c>
      <c r="G143" s="21" t="str">
        <f>IF(PRENDAS!$B121="","",PRENDAS!$H121)</f>
        <v/>
      </c>
      <c r="H143" s="21" t="str">
        <f>IF(PRENDAS!$B121="","",PRENDAS!$I121)</f>
        <v/>
      </c>
      <c r="I143" s="21" t="str">
        <f>IF(PRENDAS!$B121="","",PRENDAS!$J121)</f>
        <v/>
      </c>
      <c r="J143" s="21" t="str">
        <f>IF(PRENDAS!$B121="","",PRENDAS!$P121)</f>
        <v/>
      </c>
    </row>
    <row r="144" ht="15.0" customHeight="1">
      <c r="A144" s="30" t="str">
        <f>IF(PRENDAS!$B122="","",PRENDAS!$A122)</f>
        <v/>
      </c>
      <c r="B144" s="21" t="str">
        <f>IF(PRENDAS!$B122="","",PRENDAS!$B122)</f>
        <v/>
      </c>
      <c r="C144" s="21" t="str">
        <f>IF(PRENDAS!$B122="","",PRENDAS!$D122)</f>
        <v/>
      </c>
      <c r="D144" s="30" t="str">
        <f>IF(PRENDAS!$B122="","",PRENDAS!$E122)</f>
        <v/>
      </c>
      <c r="E144" s="30" t="str">
        <f>IF(PRENDAS!$B122="","",PRENDAS!$F122)</f>
        <v/>
      </c>
      <c r="F144" s="21" t="str">
        <f>IF(PRENDAS!$B122="","",PRENDAS!$G122)</f>
        <v/>
      </c>
      <c r="G144" s="21" t="str">
        <f>IF(PRENDAS!$B122="","",PRENDAS!$H122)</f>
        <v/>
      </c>
      <c r="H144" s="21" t="str">
        <f>IF(PRENDAS!$B122="","",PRENDAS!$I122)</f>
        <v/>
      </c>
      <c r="I144" s="21" t="str">
        <f>IF(PRENDAS!$B122="","",PRENDAS!$J122)</f>
        <v/>
      </c>
      <c r="J144" s="21" t="str">
        <f>IF(PRENDAS!$B122="","",PRENDAS!$P122)</f>
        <v/>
      </c>
    </row>
    <row r="145" ht="15.0" customHeight="1">
      <c r="A145" s="30" t="str">
        <f>IF(PRENDAS!$B123="","",PRENDAS!$A123)</f>
        <v/>
      </c>
      <c r="B145" s="21" t="str">
        <f>IF(PRENDAS!$B123="","",PRENDAS!$B123)</f>
        <v/>
      </c>
      <c r="C145" s="21" t="str">
        <f>IF(PRENDAS!$B123="","",PRENDAS!$D123)</f>
        <v/>
      </c>
      <c r="D145" s="30" t="str">
        <f>IF(PRENDAS!$B123="","",PRENDAS!$E123)</f>
        <v/>
      </c>
      <c r="E145" s="30" t="str">
        <f>IF(PRENDAS!$B123="","",PRENDAS!$F123)</f>
        <v/>
      </c>
      <c r="F145" s="21" t="str">
        <f>IF(PRENDAS!$B123="","",PRENDAS!$G123)</f>
        <v/>
      </c>
      <c r="G145" s="21" t="str">
        <f>IF(PRENDAS!$B123="","",PRENDAS!$H123)</f>
        <v/>
      </c>
      <c r="H145" s="21" t="str">
        <f>IF(PRENDAS!$B123="","",PRENDAS!$I123)</f>
        <v/>
      </c>
      <c r="I145" s="21" t="str">
        <f>IF(PRENDAS!$B123="","",PRENDAS!$J123)</f>
        <v/>
      </c>
      <c r="J145" s="21" t="str">
        <f>IF(PRENDAS!$B123="","",PRENDAS!$P123)</f>
        <v/>
      </c>
    </row>
    <row r="146" ht="15.0" customHeight="1">
      <c r="A146" s="30" t="str">
        <f>IF(PRENDAS!$B124="","",PRENDAS!$A124)</f>
        <v/>
      </c>
      <c r="B146" s="21" t="str">
        <f>IF(PRENDAS!$B124="","",PRENDAS!$B124)</f>
        <v/>
      </c>
      <c r="C146" s="21" t="str">
        <f>IF(PRENDAS!$B124="","",PRENDAS!$D124)</f>
        <v/>
      </c>
      <c r="D146" s="30" t="str">
        <f>IF(PRENDAS!$B124="","",PRENDAS!$E124)</f>
        <v/>
      </c>
      <c r="E146" s="30" t="str">
        <f>IF(PRENDAS!$B124="","",PRENDAS!$F124)</f>
        <v/>
      </c>
      <c r="F146" s="21" t="str">
        <f>IF(PRENDAS!$B124="","",PRENDAS!$G124)</f>
        <v/>
      </c>
      <c r="G146" s="21" t="str">
        <f>IF(PRENDAS!$B124="","",PRENDAS!$H124)</f>
        <v/>
      </c>
      <c r="H146" s="21" t="str">
        <f>IF(PRENDAS!$B124="","",PRENDAS!$I124)</f>
        <v/>
      </c>
      <c r="I146" s="21" t="str">
        <f>IF(PRENDAS!$B124="","",PRENDAS!$J124)</f>
        <v/>
      </c>
      <c r="J146" s="21" t="str">
        <f>IF(PRENDAS!$B124="","",PRENDAS!$P124)</f>
        <v/>
      </c>
    </row>
    <row r="147" ht="15.0" customHeight="1">
      <c r="A147" s="30" t="str">
        <f>IF(PRENDAS!$B125="","",PRENDAS!$A125)</f>
        <v/>
      </c>
      <c r="B147" s="21" t="str">
        <f>IF(PRENDAS!$B125="","",PRENDAS!$B125)</f>
        <v/>
      </c>
      <c r="C147" s="21" t="str">
        <f>IF(PRENDAS!$B125="","",PRENDAS!$D125)</f>
        <v/>
      </c>
      <c r="D147" s="30" t="str">
        <f>IF(PRENDAS!$B125="","",PRENDAS!$E125)</f>
        <v/>
      </c>
      <c r="E147" s="30" t="str">
        <f>IF(PRENDAS!$B125="","",PRENDAS!$F125)</f>
        <v/>
      </c>
      <c r="F147" s="21" t="str">
        <f>IF(PRENDAS!$B125="","",PRENDAS!$G125)</f>
        <v/>
      </c>
      <c r="G147" s="21" t="str">
        <f>IF(PRENDAS!$B125="","",PRENDAS!$H125)</f>
        <v/>
      </c>
      <c r="H147" s="21" t="str">
        <f>IF(PRENDAS!$B125="","",PRENDAS!$I125)</f>
        <v/>
      </c>
      <c r="I147" s="21" t="str">
        <f>IF(PRENDAS!$B125="","",PRENDAS!$J125)</f>
        <v/>
      </c>
      <c r="J147" s="21" t="str">
        <f>IF(PRENDAS!$B125="","",PRENDAS!$P125)</f>
        <v/>
      </c>
    </row>
    <row r="148" ht="15.0" customHeight="1">
      <c r="A148" s="30" t="str">
        <f>IF(PRENDAS!$B126="","",PRENDAS!$A126)</f>
        <v/>
      </c>
      <c r="B148" s="21" t="str">
        <f>IF(PRENDAS!$B126="","",PRENDAS!$B126)</f>
        <v/>
      </c>
      <c r="C148" s="21" t="str">
        <f>IF(PRENDAS!$B126="","",PRENDAS!$D126)</f>
        <v/>
      </c>
      <c r="D148" s="30" t="str">
        <f>IF(PRENDAS!$B126="","",PRENDAS!$E126)</f>
        <v/>
      </c>
      <c r="E148" s="30" t="str">
        <f>IF(PRENDAS!$B126="","",PRENDAS!$F126)</f>
        <v/>
      </c>
      <c r="F148" s="21" t="str">
        <f>IF(PRENDAS!$B126="","",PRENDAS!$G126)</f>
        <v/>
      </c>
      <c r="G148" s="21" t="str">
        <f>IF(PRENDAS!$B126="","",PRENDAS!$H126)</f>
        <v/>
      </c>
      <c r="H148" s="21" t="str">
        <f>IF(PRENDAS!$B126="","",PRENDAS!$I126)</f>
        <v/>
      </c>
      <c r="I148" s="21" t="str">
        <f>IF(PRENDAS!$B126="","",PRENDAS!$J126)</f>
        <v/>
      </c>
      <c r="J148" s="21" t="str">
        <f>IF(PRENDAS!$B126="","",PRENDAS!$P126)</f>
        <v/>
      </c>
    </row>
    <row r="149" ht="15.0" customHeight="1">
      <c r="A149" s="30" t="str">
        <f>IF(PRENDAS!$B127="","",PRENDAS!$A127)</f>
        <v/>
      </c>
      <c r="B149" s="21" t="str">
        <f>IF(PRENDAS!$B127="","",PRENDAS!$B127)</f>
        <v/>
      </c>
      <c r="C149" s="21" t="str">
        <f>IF(PRENDAS!$B127="","",PRENDAS!$D127)</f>
        <v/>
      </c>
      <c r="D149" s="30" t="str">
        <f>IF(PRENDAS!$B127="","",PRENDAS!$E127)</f>
        <v/>
      </c>
      <c r="E149" s="30" t="str">
        <f>IF(PRENDAS!$B127="","",PRENDAS!$F127)</f>
        <v/>
      </c>
      <c r="F149" s="21" t="str">
        <f>IF(PRENDAS!$B127="","",PRENDAS!$G127)</f>
        <v/>
      </c>
      <c r="G149" s="21" t="str">
        <f>IF(PRENDAS!$B127="","",PRENDAS!$H127)</f>
        <v/>
      </c>
      <c r="H149" s="21" t="str">
        <f>IF(PRENDAS!$B127="","",PRENDAS!$I127)</f>
        <v/>
      </c>
      <c r="I149" s="21" t="str">
        <f>IF(PRENDAS!$B127="","",PRENDAS!$J127)</f>
        <v/>
      </c>
      <c r="J149" s="21" t="str">
        <f>IF(PRENDAS!$B127="","",PRENDAS!$P127)</f>
        <v/>
      </c>
    </row>
    <row r="150" ht="15.0" customHeight="1">
      <c r="A150" s="30" t="str">
        <f>IF(PRENDAS!$B128="","",PRENDAS!$A128)</f>
        <v/>
      </c>
      <c r="B150" s="21" t="str">
        <f>IF(PRENDAS!$B128="","",PRENDAS!$B128)</f>
        <v/>
      </c>
      <c r="C150" s="21" t="str">
        <f>IF(PRENDAS!$B128="","",PRENDAS!$D128)</f>
        <v/>
      </c>
      <c r="D150" s="30" t="str">
        <f>IF(PRENDAS!$B128="","",PRENDAS!$E128)</f>
        <v/>
      </c>
      <c r="E150" s="30" t="str">
        <f>IF(PRENDAS!$B128="","",PRENDAS!$F128)</f>
        <v/>
      </c>
      <c r="F150" s="21" t="str">
        <f>IF(PRENDAS!$B128="","",PRENDAS!$G128)</f>
        <v/>
      </c>
      <c r="G150" s="21" t="str">
        <f>IF(PRENDAS!$B128="","",PRENDAS!$H128)</f>
        <v/>
      </c>
      <c r="H150" s="21" t="str">
        <f>IF(PRENDAS!$B128="","",PRENDAS!$I128)</f>
        <v/>
      </c>
      <c r="I150" s="21" t="str">
        <f>IF(PRENDAS!$B128="","",PRENDAS!$J128)</f>
        <v/>
      </c>
      <c r="J150" s="21" t="str">
        <f>IF(PRENDAS!$B128="","",PRENDAS!$P128)</f>
        <v/>
      </c>
    </row>
    <row r="151" ht="15.0" customHeight="1">
      <c r="A151" s="30" t="str">
        <f>IF(PRENDAS!$B129="","",PRENDAS!$A129)</f>
        <v/>
      </c>
      <c r="B151" s="21" t="str">
        <f>IF(PRENDAS!$B129="","",PRENDAS!$B129)</f>
        <v/>
      </c>
      <c r="C151" s="21" t="str">
        <f>IF(PRENDAS!$B129="","",PRENDAS!$D129)</f>
        <v/>
      </c>
      <c r="D151" s="30" t="str">
        <f>IF(PRENDAS!$B129="","",PRENDAS!$E129)</f>
        <v/>
      </c>
      <c r="E151" s="30" t="str">
        <f>IF(PRENDAS!$B129="","",PRENDAS!$F129)</f>
        <v/>
      </c>
      <c r="F151" s="21" t="str">
        <f>IF(PRENDAS!$B129="","",PRENDAS!$G129)</f>
        <v/>
      </c>
      <c r="G151" s="21" t="str">
        <f>IF(PRENDAS!$B129="","",PRENDAS!$H129)</f>
        <v/>
      </c>
      <c r="H151" s="21" t="str">
        <f>IF(PRENDAS!$B129="","",PRENDAS!$I129)</f>
        <v/>
      </c>
      <c r="I151" s="21" t="str">
        <f>IF(PRENDAS!$B129="","",PRENDAS!$J129)</f>
        <v/>
      </c>
      <c r="J151" s="21" t="str">
        <f>IF(PRENDAS!$B129="","",PRENDAS!$P129)</f>
        <v/>
      </c>
    </row>
    <row r="152" ht="15.0" customHeight="1">
      <c r="A152" s="30" t="str">
        <f>IF(PRENDAS!$B130="","",PRENDAS!$A130)</f>
        <v/>
      </c>
      <c r="B152" s="21" t="str">
        <f>IF(PRENDAS!$B130="","",PRENDAS!$B130)</f>
        <v/>
      </c>
      <c r="C152" s="21" t="str">
        <f>IF(PRENDAS!$B130="","",PRENDAS!$D130)</f>
        <v/>
      </c>
      <c r="D152" s="30" t="str">
        <f>IF(PRENDAS!$B130="","",PRENDAS!$E130)</f>
        <v/>
      </c>
      <c r="E152" s="30" t="str">
        <f>IF(PRENDAS!$B130="","",PRENDAS!$F130)</f>
        <v/>
      </c>
      <c r="F152" s="21" t="str">
        <f>IF(PRENDAS!$B130="","",PRENDAS!$G130)</f>
        <v/>
      </c>
      <c r="G152" s="21" t="str">
        <f>IF(PRENDAS!$B130="","",PRENDAS!$H130)</f>
        <v/>
      </c>
      <c r="H152" s="21" t="str">
        <f>IF(PRENDAS!$B130="","",PRENDAS!$I130)</f>
        <v/>
      </c>
      <c r="I152" s="21" t="str">
        <f>IF(PRENDAS!$B130="","",PRENDAS!$J130)</f>
        <v/>
      </c>
      <c r="J152" s="21" t="str">
        <f>IF(PRENDAS!$B130="","",PRENDAS!$P130)</f>
        <v/>
      </c>
    </row>
    <row r="153" ht="15.0" customHeight="1">
      <c r="A153" s="30" t="str">
        <f>IF(PRENDAS!$B131="","",PRENDAS!$A131)</f>
        <v/>
      </c>
      <c r="B153" s="21" t="str">
        <f>IF(PRENDAS!$B131="","",PRENDAS!$B131)</f>
        <v/>
      </c>
      <c r="C153" s="21" t="str">
        <f>IF(PRENDAS!$B131="","",PRENDAS!$D131)</f>
        <v/>
      </c>
      <c r="D153" s="30" t="str">
        <f>IF(PRENDAS!$B131="","",PRENDAS!$E131)</f>
        <v/>
      </c>
      <c r="E153" s="30" t="str">
        <f>IF(PRENDAS!$B131="","",PRENDAS!$F131)</f>
        <v/>
      </c>
      <c r="F153" s="21" t="str">
        <f>IF(PRENDAS!$B131="","",PRENDAS!$G131)</f>
        <v/>
      </c>
      <c r="G153" s="21" t="str">
        <f>IF(PRENDAS!$B131="","",PRENDAS!$H131)</f>
        <v/>
      </c>
      <c r="H153" s="21" t="str">
        <f>IF(PRENDAS!$B131="","",PRENDAS!$I131)</f>
        <v/>
      </c>
      <c r="I153" s="21" t="str">
        <f>IF(PRENDAS!$B131="","",PRENDAS!$J131)</f>
        <v/>
      </c>
      <c r="J153" s="21" t="str">
        <f>IF(PRENDAS!$B131="","",PRENDAS!$P131)</f>
        <v/>
      </c>
    </row>
    <row r="154" ht="15.0" customHeight="1">
      <c r="A154" s="30" t="str">
        <f>IF(PRENDAS!$B132="","",PRENDAS!$A132)</f>
        <v/>
      </c>
      <c r="B154" s="21" t="str">
        <f>IF(PRENDAS!$B132="","",PRENDAS!$B132)</f>
        <v/>
      </c>
      <c r="C154" s="21" t="str">
        <f>IF(PRENDAS!$B132="","",PRENDAS!$D132)</f>
        <v/>
      </c>
      <c r="D154" s="30" t="str">
        <f>IF(PRENDAS!$B132="","",PRENDAS!$E132)</f>
        <v/>
      </c>
      <c r="E154" s="30" t="str">
        <f>IF(PRENDAS!$B132="","",PRENDAS!$F132)</f>
        <v/>
      </c>
      <c r="F154" s="21" t="str">
        <f>IF(PRENDAS!$B132="","",PRENDAS!$G132)</f>
        <v/>
      </c>
      <c r="G154" s="21" t="str">
        <f>IF(PRENDAS!$B132="","",PRENDAS!$H132)</f>
        <v/>
      </c>
      <c r="H154" s="21" t="str">
        <f>IF(PRENDAS!$B132="","",PRENDAS!$I132)</f>
        <v/>
      </c>
      <c r="I154" s="21" t="str">
        <f>IF(PRENDAS!$B132="","",PRENDAS!$J132)</f>
        <v/>
      </c>
      <c r="J154" s="21" t="str">
        <f>IF(PRENDAS!$B132="","",PRENDAS!$P132)</f>
        <v/>
      </c>
    </row>
    <row r="155" ht="15.0" customHeight="1">
      <c r="A155" s="30" t="str">
        <f>IF(PRENDAS!$B133="","",PRENDAS!$A133)</f>
        <v/>
      </c>
      <c r="B155" s="21" t="str">
        <f>IF(PRENDAS!$B133="","",PRENDAS!$B133)</f>
        <v/>
      </c>
      <c r="C155" s="21" t="str">
        <f>IF(PRENDAS!$B133="","",PRENDAS!$D133)</f>
        <v/>
      </c>
      <c r="D155" s="30" t="str">
        <f>IF(PRENDAS!$B133="","",PRENDAS!$E133)</f>
        <v/>
      </c>
      <c r="E155" s="30" t="str">
        <f>IF(PRENDAS!$B133="","",PRENDAS!$F133)</f>
        <v/>
      </c>
      <c r="F155" s="21" t="str">
        <f>IF(PRENDAS!$B133="","",PRENDAS!$G133)</f>
        <v/>
      </c>
      <c r="G155" s="21" t="str">
        <f>IF(PRENDAS!$B133="","",PRENDAS!$H133)</f>
        <v/>
      </c>
      <c r="H155" s="21" t="str">
        <f>IF(PRENDAS!$B133="","",PRENDAS!$I133)</f>
        <v/>
      </c>
      <c r="I155" s="21" t="str">
        <f>IF(PRENDAS!$B133="","",PRENDAS!$J133)</f>
        <v/>
      </c>
      <c r="J155" s="21" t="str">
        <f>IF(PRENDAS!$B133="","",PRENDAS!$P133)</f>
        <v/>
      </c>
    </row>
    <row r="156" ht="15.0" customHeight="1">
      <c r="A156" s="30" t="str">
        <f>IF(PRENDAS!$B134="","",PRENDAS!$A134)</f>
        <v/>
      </c>
      <c r="B156" s="21" t="str">
        <f>IF(PRENDAS!$B134="","",PRENDAS!$B134)</f>
        <v/>
      </c>
      <c r="C156" s="21" t="str">
        <f>IF(PRENDAS!$B134="","",PRENDAS!$D134)</f>
        <v/>
      </c>
      <c r="D156" s="30" t="str">
        <f>IF(PRENDAS!$B134="","",PRENDAS!$E134)</f>
        <v/>
      </c>
      <c r="E156" s="30" t="str">
        <f>IF(PRENDAS!$B134="","",PRENDAS!$F134)</f>
        <v/>
      </c>
      <c r="F156" s="21" t="str">
        <f>IF(PRENDAS!$B134="","",PRENDAS!$G134)</f>
        <v/>
      </c>
      <c r="G156" s="21" t="str">
        <f>IF(PRENDAS!$B134="","",PRENDAS!$H134)</f>
        <v/>
      </c>
      <c r="H156" s="21" t="str">
        <f>IF(PRENDAS!$B134="","",PRENDAS!$I134)</f>
        <v/>
      </c>
      <c r="I156" s="21" t="str">
        <f>IF(PRENDAS!$B134="","",PRENDAS!$J134)</f>
        <v/>
      </c>
      <c r="J156" s="21" t="str">
        <f>IF(PRENDAS!$B134="","",PRENDAS!$P134)</f>
        <v/>
      </c>
    </row>
    <row r="157" ht="15.0" customHeight="1">
      <c r="A157" s="30" t="str">
        <f>IF(PRENDAS!$B135="","",PRENDAS!$A135)</f>
        <v/>
      </c>
      <c r="B157" s="21" t="str">
        <f>IF(PRENDAS!$B135="","",PRENDAS!$B135)</f>
        <v/>
      </c>
      <c r="C157" s="21" t="str">
        <f>IF(PRENDAS!$B135="","",PRENDAS!$D135)</f>
        <v/>
      </c>
      <c r="D157" s="30" t="str">
        <f>IF(PRENDAS!$B135="","",PRENDAS!$E135)</f>
        <v/>
      </c>
      <c r="E157" s="30" t="str">
        <f>IF(PRENDAS!$B135="","",PRENDAS!$F135)</f>
        <v/>
      </c>
      <c r="F157" s="21" t="str">
        <f>IF(PRENDAS!$B135="","",PRENDAS!$G135)</f>
        <v/>
      </c>
      <c r="G157" s="21" t="str">
        <f>IF(PRENDAS!$B135="","",PRENDAS!$H135)</f>
        <v/>
      </c>
      <c r="H157" s="21" t="str">
        <f>IF(PRENDAS!$B135="","",PRENDAS!$I135)</f>
        <v/>
      </c>
      <c r="I157" s="21" t="str">
        <f>IF(PRENDAS!$B135="","",PRENDAS!$J135)</f>
        <v/>
      </c>
      <c r="J157" s="21" t="str">
        <f>IF(PRENDAS!$B135="","",PRENDAS!$P135)</f>
        <v/>
      </c>
    </row>
    <row r="158" ht="15.0" customHeight="1">
      <c r="A158" s="30" t="str">
        <f>IF(PRENDAS!$B136="","",PRENDAS!$A136)</f>
        <v/>
      </c>
      <c r="B158" s="21" t="str">
        <f>IF(PRENDAS!$B136="","",PRENDAS!$B136)</f>
        <v/>
      </c>
      <c r="C158" s="21" t="str">
        <f>IF(PRENDAS!$B136="","",PRENDAS!$D136)</f>
        <v/>
      </c>
      <c r="D158" s="30" t="str">
        <f>IF(PRENDAS!$B136="","",PRENDAS!$E136)</f>
        <v/>
      </c>
      <c r="E158" s="30" t="str">
        <f>IF(PRENDAS!$B136="","",PRENDAS!$F136)</f>
        <v/>
      </c>
      <c r="F158" s="21" t="str">
        <f>IF(PRENDAS!$B136="","",PRENDAS!$G136)</f>
        <v/>
      </c>
      <c r="G158" s="21" t="str">
        <f>IF(PRENDAS!$B136="","",PRENDAS!$H136)</f>
        <v/>
      </c>
      <c r="H158" s="21" t="str">
        <f>IF(PRENDAS!$B136="","",PRENDAS!$I136)</f>
        <v/>
      </c>
      <c r="I158" s="21" t="str">
        <f>IF(PRENDAS!$B136="","",PRENDAS!$J136)</f>
        <v/>
      </c>
      <c r="J158" s="21" t="str">
        <f>IF(PRENDAS!$B136="","",PRENDAS!$P136)</f>
        <v/>
      </c>
    </row>
    <row r="159" ht="15.0" customHeight="1">
      <c r="A159" s="30" t="str">
        <f>IF(PRENDAS!$B137="","",PRENDAS!$A137)</f>
        <v/>
      </c>
      <c r="B159" s="21" t="str">
        <f>IF(PRENDAS!$B137="","",PRENDAS!$B137)</f>
        <v/>
      </c>
      <c r="C159" s="21" t="str">
        <f>IF(PRENDAS!$B137="","",PRENDAS!$D137)</f>
        <v/>
      </c>
      <c r="D159" s="30" t="str">
        <f>IF(PRENDAS!$B137="","",PRENDAS!$E137)</f>
        <v/>
      </c>
      <c r="E159" s="30" t="str">
        <f>IF(PRENDAS!$B137="","",PRENDAS!$F137)</f>
        <v/>
      </c>
      <c r="F159" s="21" t="str">
        <f>IF(PRENDAS!$B137="","",PRENDAS!$G137)</f>
        <v/>
      </c>
      <c r="G159" s="21" t="str">
        <f>IF(PRENDAS!$B137="","",PRENDAS!$H137)</f>
        <v/>
      </c>
      <c r="H159" s="21" t="str">
        <f>IF(PRENDAS!$B137="","",PRENDAS!$I137)</f>
        <v/>
      </c>
      <c r="I159" s="21" t="str">
        <f>IF(PRENDAS!$B137="","",PRENDAS!$J137)</f>
        <v/>
      </c>
      <c r="J159" s="21" t="str">
        <f>IF(PRENDAS!$B137="","",PRENDAS!$P137)</f>
        <v/>
      </c>
    </row>
    <row r="160" ht="15.0" customHeight="1">
      <c r="A160" s="30" t="str">
        <f>IF(PRENDAS!$B138="","",PRENDAS!$A138)</f>
        <v/>
      </c>
      <c r="B160" s="21" t="str">
        <f>IF(PRENDAS!$B138="","",PRENDAS!$B138)</f>
        <v/>
      </c>
      <c r="C160" s="21" t="str">
        <f>IF(PRENDAS!$B138="","",PRENDAS!$D138)</f>
        <v/>
      </c>
      <c r="D160" s="30" t="str">
        <f>IF(PRENDAS!$B138="","",PRENDAS!$E138)</f>
        <v/>
      </c>
      <c r="E160" s="30" t="str">
        <f>IF(PRENDAS!$B138="","",PRENDAS!$F138)</f>
        <v/>
      </c>
      <c r="F160" s="21" t="str">
        <f>IF(PRENDAS!$B138="","",PRENDAS!$G138)</f>
        <v/>
      </c>
      <c r="G160" s="21" t="str">
        <f>IF(PRENDAS!$B138="","",PRENDAS!$H138)</f>
        <v/>
      </c>
      <c r="H160" s="21" t="str">
        <f>IF(PRENDAS!$B138="","",PRENDAS!$I138)</f>
        <v/>
      </c>
      <c r="I160" s="21" t="str">
        <f>IF(PRENDAS!$B138="","",PRENDAS!$J138)</f>
        <v/>
      </c>
      <c r="J160" s="21" t="str">
        <f>IF(PRENDAS!$B138="","",PRENDAS!$P138)</f>
        <v/>
      </c>
    </row>
    <row r="161" ht="15.0" customHeight="1">
      <c r="A161" s="30" t="str">
        <f>IF(PRENDAS!$B139="","",PRENDAS!$A139)</f>
        <v/>
      </c>
      <c r="B161" s="21" t="str">
        <f>IF(PRENDAS!$B139="","",PRENDAS!$B139)</f>
        <v/>
      </c>
      <c r="C161" s="21" t="str">
        <f>IF(PRENDAS!$B139="","",PRENDAS!$D139)</f>
        <v/>
      </c>
      <c r="D161" s="30" t="str">
        <f>IF(PRENDAS!$B139="","",PRENDAS!$E139)</f>
        <v/>
      </c>
      <c r="E161" s="30" t="str">
        <f>IF(PRENDAS!$B139="","",PRENDAS!$F139)</f>
        <v/>
      </c>
      <c r="F161" s="21" t="str">
        <f>IF(PRENDAS!$B139="","",PRENDAS!$G139)</f>
        <v/>
      </c>
      <c r="G161" s="21" t="str">
        <f>IF(PRENDAS!$B139="","",PRENDAS!$H139)</f>
        <v/>
      </c>
      <c r="H161" s="21" t="str">
        <f>IF(PRENDAS!$B139="","",PRENDAS!$I139)</f>
        <v/>
      </c>
      <c r="I161" s="21" t="str">
        <f>IF(PRENDAS!$B139="","",PRENDAS!$J139)</f>
        <v/>
      </c>
      <c r="J161" s="21" t="str">
        <f>IF(PRENDAS!$B139="","",PRENDAS!$P139)</f>
        <v/>
      </c>
    </row>
    <row r="162" ht="15.0" customHeight="1">
      <c r="A162" s="30" t="str">
        <f>IF(PRENDAS!$B140="","",PRENDAS!$A140)</f>
        <v/>
      </c>
      <c r="B162" s="21" t="str">
        <f>IF(PRENDAS!$B140="","",PRENDAS!$B140)</f>
        <v/>
      </c>
      <c r="C162" s="21" t="str">
        <f>IF(PRENDAS!$B140="","",PRENDAS!$D140)</f>
        <v/>
      </c>
      <c r="D162" s="30" t="str">
        <f>IF(PRENDAS!$B140="","",PRENDAS!$E140)</f>
        <v/>
      </c>
      <c r="E162" s="30" t="str">
        <f>IF(PRENDAS!$B140="","",PRENDAS!$F140)</f>
        <v/>
      </c>
      <c r="F162" s="21" t="str">
        <f>IF(PRENDAS!$B140="","",PRENDAS!$G140)</f>
        <v/>
      </c>
      <c r="G162" s="21" t="str">
        <f>IF(PRENDAS!$B140="","",PRENDAS!$H140)</f>
        <v/>
      </c>
      <c r="H162" s="21" t="str">
        <f>IF(PRENDAS!$B140="","",PRENDAS!$I140)</f>
        <v/>
      </c>
      <c r="I162" s="21" t="str">
        <f>IF(PRENDAS!$B140="","",PRENDAS!$J140)</f>
        <v/>
      </c>
      <c r="J162" s="21" t="str">
        <f>IF(PRENDAS!$B140="","",PRENDAS!$P140)</f>
        <v/>
      </c>
    </row>
    <row r="163" ht="15.0" customHeight="1">
      <c r="A163" s="30" t="str">
        <f>IF(PRENDAS!$B141="","",PRENDAS!$A141)</f>
        <v/>
      </c>
      <c r="B163" s="21" t="str">
        <f>IF(PRENDAS!$B141="","",PRENDAS!$B141)</f>
        <v/>
      </c>
      <c r="C163" s="21" t="str">
        <f>IF(PRENDAS!$B141="","",PRENDAS!$D141)</f>
        <v/>
      </c>
      <c r="D163" s="30" t="str">
        <f>IF(PRENDAS!$B141="","",PRENDAS!$E141)</f>
        <v/>
      </c>
      <c r="E163" s="30" t="str">
        <f>IF(PRENDAS!$B141="","",PRENDAS!$F141)</f>
        <v/>
      </c>
      <c r="F163" s="21" t="str">
        <f>IF(PRENDAS!$B141="","",PRENDAS!$G141)</f>
        <v/>
      </c>
      <c r="G163" s="21" t="str">
        <f>IF(PRENDAS!$B141="","",PRENDAS!$H141)</f>
        <v/>
      </c>
      <c r="H163" s="21" t="str">
        <f>IF(PRENDAS!$B141="","",PRENDAS!$I141)</f>
        <v/>
      </c>
      <c r="I163" s="21" t="str">
        <f>IF(PRENDAS!$B141="","",PRENDAS!$J141)</f>
        <v/>
      </c>
      <c r="J163" s="21" t="str">
        <f>IF(PRENDAS!$B141="","",PRENDAS!$P141)</f>
        <v/>
      </c>
    </row>
    <row r="164" ht="15.0" customHeight="1">
      <c r="A164" s="30" t="str">
        <f>IF(PRENDAS!$B142="","",PRENDAS!$A142)</f>
        <v/>
      </c>
      <c r="B164" s="21" t="str">
        <f>IF(PRENDAS!$B142="","",PRENDAS!$B142)</f>
        <v/>
      </c>
      <c r="C164" s="21" t="str">
        <f>IF(PRENDAS!$B142="","",PRENDAS!$D142)</f>
        <v/>
      </c>
      <c r="D164" s="30" t="str">
        <f>IF(PRENDAS!$B142="","",PRENDAS!$E142)</f>
        <v/>
      </c>
      <c r="E164" s="30" t="str">
        <f>IF(PRENDAS!$B142="","",PRENDAS!$F142)</f>
        <v/>
      </c>
      <c r="F164" s="21" t="str">
        <f>IF(PRENDAS!$B142="","",PRENDAS!$G142)</f>
        <v/>
      </c>
      <c r="G164" s="21" t="str">
        <f>IF(PRENDAS!$B142="","",PRENDAS!$H142)</f>
        <v/>
      </c>
      <c r="H164" s="21" t="str">
        <f>IF(PRENDAS!$B142="","",PRENDAS!$I142)</f>
        <v/>
      </c>
      <c r="I164" s="21" t="str">
        <f>IF(PRENDAS!$B142="","",PRENDAS!$J142)</f>
        <v/>
      </c>
      <c r="J164" s="21" t="str">
        <f>IF(PRENDAS!$B142="","",PRENDAS!$P142)</f>
        <v/>
      </c>
    </row>
    <row r="165" ht="15.0" customHeight="1">
      <c r="A165" s="30" t="str">
        <f>IF(PRENDAS!$B143="","",PRENDAS!$A143)</f>
        <v/>
      </c>
      <c r="B165" s="21" t="str">
        <f>IF(PRENDAS!$B143="","",PRENDAS!$B143)</f>
        <v/>
      </c>
      <c r="C165" s="21" t="str">
        <f>IF(PRENDAS!$B143="","",PRENDAS!$D143)</f>
        <v/>
      </c>
      <c r="D165" s="30" t="str">
        <f>IF(PRENDAS!$B143="","",PRENDAS!$E143)</f>
        <v/>
      </c>
      <c r="E165" s="30" t="str">
        <f>IF(PRENDAS!$B143="","",PRENDAS!$F143)</f>
        <v/>
      </c>
      <c r="F165" s="21" t="str">
        <f>IF(PRENDAS!$B143="","",PRENDAS!$G143)</f>
        <v/>
      </c>
      <c r="G165" s="21" t="str">
        <f>IF(PRENDAS!$B143="","",PRENDAS!$H143)</f>
        <v/>
      </c>
      <c r="H165" s="21" t="str">
        <f>IF(PRENDAS!$B143="","",PRENDAS!$I143)</f>
        <v/>
      </c>
      <c r="I165" s="21" t="str">
        <f>IF(PRENDAS!$B143="","",PRENDAS!$J143)</f>
        <v/>
      </c>
      <c r="J165" s="21" t="str">
        <f>IF(PRENDAS!$B143="","",PRENDAS!$P143)</f>
        <v/>
      </c>
    </row>
    <row r="166" ht="15.0" customHeight="1">
      <c r="A166" s="30" t="str">
        <f>IF(PRENDAS!$B144="","",PRENDAS!$A144)</f>
        <v/>
      </c>
      <c r="B166" s="21" t="str">
        <f>IF(PRENDAS!$B144="","",PRENDAS!$B144)</f>
        <v/>
      </c>
      <c r="C166" s="21" t="str">
        <f>IF(PRENDAS!$B144="","",PRENDAS!$D144)</f>
        <v/>
      </c>
      <c r="D166" s="30" t="str">
        <f>IF(PRENDAS!$B144="","",PRENDAS!$E144)</f>
        <v/>
      </c>
      <c r="E166" s="30" t="str">
        <f>IF(PRENDAS!$B144="","",PRENDAS!$F144)</f>
        <v/>
      </c>
      <c r="F166" s="21" t="str">
        <f>IF(PRENDAS!$B144="","",PRENDAS!$G144)</f>
        <v/>
      </c>
      <c r="G166" s="21" t="str">
        <f>IF(PRENDAS!$B144="","",PRENDAS!$H144)</f>
        <v/>
      </c>
      <c r="H166" s="21" t="str">
        <f>IF(PRENDAS!$B144="","",PRENDAS!$I144)</f>
        <v/>
      </c>
      <c r="I166" s="21" t="str">
        <f>IF(PRENDAS!$B144="","",PRENDAS!$J144)</f>
        <v/>
      </c>
      <c r="J166" s="21" t="str">
        <f>IF(PRENDAS!$B144="","",PRENDAS!$P144)</f>
        <v/>
      </c>
    </row>
    <row r="167" ht="15.0" customHeight="1">
      <c r="A167" s="30" t="str">
        <f>IF(PRENDAS!$B145="","",PRENDAS!$A145)</f>
        <v/>
      </c>
      <c r="B167" s="21" t="str">
        <f>IF(PRENDAS!$B145="","",PRENDAS!$B145)</f>
        <v/>
      </c>
      <c r="C167" s="21" t="str">
        <f>IF(PRENDAS!$B145="","",PRENDAS!$D145)</f>
        <v/>
      </c>
      <c r="D167" s="30" t="str">
        <f>IF(PRENDAS!$B145="","",PRENDAS!$E145)</f>
        <v/>
      </c>
      <c r="E167" s="30" t="str">
        <f>IF(PRENDAS!$B145="","",PRENDAS!$F145)</f>
        <v/>
      </c>
      <c r="F167" s="21" t="str">
        <f>IF(PRENDAS!$B145="","",PRENDAS!$G145)</f>
        <v/>
      </c>
      <c r="G167" s="21" t="str">
        <f>IF(PRENDAS!$B145="","",PRENDAS!$H145)</f>
        <v/>
      </c>
      <c r="H167" s="21" t="str">
        <f>IF(PRENDAS!$B145="","",PRENDAS!$I145)</f>
        <v/>
      </c>
      <c r="I167" s="21" t="str">
        <f>IF(PRENDAS!$B145="","",PRENDAS!$J145)</f>
        <v/>
      </c>
      <c r="J167" s="21" t="str">
        <f>IF(PRENDAS!$B145="","",PRENDAS!$P145)</f>
        <v/>
      </c>
    </row>
    <row r="168" ht="15.0" customHeight="1">
      <c r="A168" s="30" t="str">
        <f>IF(PRENDAS!$B146="","",PRENDAS!$A146)</f>
        <v/>
      </c>
      <c r="B168" s="21" t="str">
        <f>IF(PRENDAS!$B146="","",PRENDAS!$B146)</f>
        <v/>
      </c>
      <c r="C168" s="21" t="str">
        <f>IF(PRENDAS!$B146="","",PRENDAS!$D146)</f>
        <v/>
      </c>
      <c r="D168" s="30" t="str">
        <f>IF(PRENDAS!$B146="","",PRENDAS!$E146)</f>
        <v/>
      </c>
      <c r="E168" s="30" t="str">
        <f>IF(PRENDAS!$B146="","",PRENDAS!$F146)</f>
        <v/>
      </c>
      <c r="F168" s="21" t="str">
        <f>IF(PRENDAS!$B146="","",PRENDAS!$G146)</f>
        <v/>
      </c>
      <c r="G168" s="21" t="str">
        <f>IF(PRENDAS!$B146="","",PRENDAS!$H146)</f>
        <v/>
      </c>
      <c r="H168" s="21" t="str">
        <f>IF(PRENDAS!$B146="","",PRENDAS!$I146)</f>
        <v/>
      </c>
      <c r="I168" s="21" t="str">
        <f>IF(PRENDAS!$B146="","",PRENDAS!$J146)</f>
        <v/>
      </c>
      <c r="J168" s="21" t="str">
        <f>IF(PRENDAS!$B146="","",PRENDAS!$P146)</f>
        <v/>
      </c>
    </row>
    <row r="169" ht="15.0" customHeight="1">
      <c r="A169" s="30" t="str">
        <f>IF(PRENDAS!$B147="","",PRENDAS!$A147)</f>
        <v/>
      </c>
      <c r="B169" s="21" t="str">
        <f>IF(PRENDAS!$B147="","",PRENDAS!$B147)</f>
        <v/>
      </c>
      <c r="C169" s="21" t="str">
        <f>IF(PRENDAS!$B147="","",PRENDAS!$D147)</f>
        <v/>
      </c>
      <c r="D169" s="30" t="str">
        <f>IF(PRENDAS!$B147="","",PRENDAS!$E147)</f>
        <v/>
      </c>
      <c r="E169" s="30" t="str">
        <f>IF(PRENDAS!$B147="","",PRENDAS!$F147)</f>
        <v/>
      </c>
      <c r="F169" s="21" t="str">
        <f>IF(PRENDAS!$B147="","",PRENDAS!$G147)</f>
        <v/>
      </c>
      <c r="G169" s="21" t="str">
        <f>IF(PRENDAS!$B147="","",PRENDAS!$H147)</f>
        <v/>
      </c>
      <c r="H169" s="21" t="str">
        <f>IF(PRENDAS!$B147="","",PRENDAS!$I147)</f>
        <v/>
      </c>
      <c r="I169" s="21" t="str">
        <f>IF(PRENDAS!$B147="","",PRENDAS!$J147)</f>
        <v/>
      </c>
      <c r="J169" s="21" t="str">
        <f>IF(PRENDAS!$B147="","",PRENDAS!$P147)</f>
        <v/>
      </c>
    </row>
    <row r="170" ht="15.0" customHeight="1">
      <c r="A170" s="30" t="str">
        <f>IF(PRENDAS!$B148="","",PRENDAS!$A148)</f>
        <v/>
      </c>
      <c r="B170" s="21" t="str">
        <f>IF(PRENDAS!$B148="","",PRENDAS!$B148)</f>
        <v/>
      </c>
      <c r="C170" s="21" t="str">
        <f>IF(PRENDAS!$B148="","",PRENDAS!$D148)</f>
        <v/>
      </c>
      <c r="D170" s="30" t="str">
        <f>IF(PRENDAS!$B148="","",PRENDAS!$E148)</f>
        <v/>
      </c>
      <c r="E170" s="30" t="str">
        <f>IF(PRENDAS!$B148="","",PRENDAS!$F148)</f>
        <v/>
      </c>
      <c r="F170" s="21" t="str">
        <f>IF(PRENDAS!$B148="","",PRENDAS!$G148)</f>
        <v/>
      </c>
      <c r="G170" s="21" t="str">
        <f>IF(PRENDAS!$B148="","",PRENDAS!$H148)</f>
        <v/>
      </c>
      <c r="H170" s="21" t="str">
        <f>IF(PRENDAS!$B148="","",PRENDAS!$I148)</f>
        <v/>
      </c>
      <c r="I170" s="21" t="str">
        <f>IF(PRENDAS!$B148="","",PRENDAS!$J148)</f>
        <v/>
      </c>
      <c r="J170" s="21" t="str">
        <f>IF(PRENDAS!$B148="","",PRENDAS!$P148)</f>
        <v/>
      </c>
    </row>
    <row r="171" ht="15.0" customHeight="1">
      <c r="A171" s="30" t="str">
        <f>IF(PRENDAS!$B149="","",PRENDAS!$A149)</f>
        <v/>
      </c>
      <c r="B171" s="21" t="str">
        <f>IF(PRENDAS!$B149="","",PRENDAS!$B149)</f>
        <v/>
      </c>
      <c r="C171" s="21" t="str">
        <f>IF(PRENDAS!$B149="","",PRENDAS!$D149)</f>
        <v/>
      </c>
      <c r="D171" s="30" t="str">
        <f>IF(PRENDAS!$B149="","",PRENDAS!$E149)</f>
        <v/>
      </c>
      <c r="E171" s="30" t="str">
        <f>IF(PRENDAS!$B149="","",PRENDAS!$F149)</f>
        <v/>
      </c>
      <c r="F171" s="21" t="str">
        <f>IF(PRENDAS!$B149="","",PRENDAS!$G149)</f>
        <v/>
      </c>
      <c r="G171" s="21" t="str">
        <f>IF(PRENDAS!$B149="","",PRENDAS!$H149)</f>
        <v/>
      </c>
      <c r="H171" s="21" t="str">
        <f>IF(PRENDAS!$B149="","",PRENDAS!$I149)</f>
        <v/>
      </c>
      <c r="I171" s="21" t="str">
        <f>IF(PRENDAS!$B149="","",PRENDAS!$J149)</f>
        <v/>
      </c>
      <c r="J171" s="21" t="str">
        <f>IF(PRENDAS!$B149="","",PRENDAS!$P149)</f>
        <v/>
      </c>
    </row>
    <row r="172" ht="15.0" customHeight="1">
      <c r="A172" s="30" t="str">
        <f>IF(PRENDAS!$B150="","",PRENDAS!$A150)</f>
        <v/>
      </c>
      <c r="B172" s="21" t="str">
        <f>IF(PRENDAS!$B150="","",PRENDAS!$B150)</f>
        <v/>
      </c>
      <c r="C172" s="21" t="str">
        <f>IF(PRENDAS!$B150="","",PRENDAS!$D150)</f>
        <v/>
      </c>
      <c r="D172" s="30" t="str">
        <f>IF(PRENDAS!$B150="","",PRENDAS!$E150)</f>
        <v/>
      </c>
      <c r="E172" s="30" t="str">
        <f>IF(PRENDAS!$B150="","",PRENDAS!$F150)</f>
        <v/>
      </c>
      <c r="F172" s="21" t="str">
        <f>IF(PRENDAS!$B150="","",PRENDAS!$G150)</f>
        <v/>
      </c>
      <c r="G172" s="21" t="str">
        <f>IF(PRENDAS!$B150="","",PRENDAS!$H150)</f>
        <v/>
      </c>
      <c r="H172" s="21" t="str">
        <f>IF(PRENDAS!$B150="","",PRENDAS!$I150)</f>
        <v/>
      </c>
      <c r="I172" s="21" t="str">
        <f>IF(PRENDAS!$B150="","",PRENDAS!$J150)</f>
        <v/>
      </c>
      <c r="J172" s="21" t="str">
        <f>IF(PRENDAS!$B150="","",PRENDAS!$P150)</f>
        <v/>
      </c>
    </row>
    <row r="173" ht="15.0" customHeight="1">
      <c r="A173" s="30" t="str">
        <f>IF(PRENDAS!$B151="","",PRENDAS!$A151)</f>
        <v/>
      </c>
      <c r="B173" s="21" t="str">
        <f>IF(PRENDAS!$B151="","",PRENDAS!$B151)</f>
        <v/>
      </c>
      <c r="C173" s="21" t="str">
        <f>IF(PRENDAS!$B151="","",PRENDAS!$D151)</f>
        <v/>
      </c>
      <c r="D173" s="30" t="str">
        <f>IF(PRENDAS!$B151="","",PRENDAS!$E151)</f>
        <v/>
      </c>
      <c r="E173" s="30" t="str">
        <f>IF(PRENDAS!$B151="","",PRENDAS!$F151)</f>
        <v/>
      </c>
      <c r="F173" s="21" t="str">
        <f>IF(PRENDAS!$B151="","",PRENDAS!$G151)</f>
        <v/>
      </c>
      <c r="G173" s="21" t="str">
        <f>IF(PRENDAS!$B151="","",PRENDAS!$H151)</f>
        <v/>
      </c>
      <c r="H173" s="21" t="str">
        <f>IF(PRENDAS!$B151="","",PRENDAS!$I151)</f>
        <v/>
      </c>
      <c r="I173" s="21" t="str">
        <f>IF(PRENDAS!$B151="","",PRENDAS!$J151)</f>
        <v/>
      </c>
      <c r="J173" s="21" t="str">
        <f>IF(PRENDAS!$B151="","",PRENDAS!$P151)</f>
        <v/>
      </c>
    </row>
    <row r="174" ht="15.0" customHeight="1">
      <c r="A174" s="30" t="str">
        <f>IF(PRENDAS!$B152="","",PRENDAS!$A152)</f>
        <v/>
      </c>
      <c r="B174" s="21" t="str">
        <f>IF(PRENDAS!$B152="","",PRENDAS!$B152)</f>
        <v/>
      </c>
      <c r="C174" s="21" t="str">
        <f>IF(PRENDAS!$B152="","",PRENDAS!$D152)</f>
        <v/>
      </c>
      <c r="D174" s="30" t="str">
        <f>IF(PRENDAS!$B152="","",PRENDAS!$E152)</f>
        <v/>
      </c>
      <c r="E174" s="30" t="str">
        <f>IF(PRENDAS!$B152="","",PRENDAS!$F152)</f>
        <v/>
      </c>
      <c r="F174" s="21" t="str">
        <f>IF(PRENDAS!$B152="","",PRENDAS!$G152)</f>
        <v/>
      </c>
      <c r="G174" s="21" t="str">
        <f>IF(PRENDAS!$B152="","",PRENDAS!$H152)</f>
        <v/>
      </c>
      <c r="H174" s="21" t="str">
        <f>IF(PRENDAS!$B152="","",PRENDAS!$I152)</f>
        <v/>
      </c>
      <c r="I174" s="21" t="str">
        <f>IF(PRENDAS!$B152="","",PRENDAS!$J152)</f>
        <v/>
      </c>
      <c r="J174" s="21" t="str">
        <f>IF(PRENDAS!$B152="","",PRENDAS!$P152)</f>
        <v/>
      </c>
    </row>
    <row r="175" ht="15.0" customHeight="1">
      <c r="A175" s="30" t="str">
        <f>IF(PRENDAS!$B153="","",PRENDAS!$A153)</f>
        <v/>
      </c>
      <c r="B175" s="21" t="str">
        <f>IF(PRENDAS!$B153="","",PRENDAS!$B153)</f>
        <v/>
      </c>
      <c r="C175" s="21" t="str">
        <f>IF(PRENDAS!$B153="","",PRENDAS!$D153)</f>
        <v/>
      </c>
      <c r="D175" s="30" t="str">
        <f>IF(PRENDAS!$B153="","",PRENDAS!$E153)</f>
        <v/>
      </c>
      <c r="E175" s="30" t="str">
        <f>IF(PRENDAS!$B153="","",PRENDAS!$F153)</f>
        <v/>
      </c>
      <c r="F175" s="21" t="str">
        <f>IF(PRENDAS!$B153="","",PRENDAS!$G153)</f>
        <v/>
      </c>
      <c r="G175" s="21" t="str">
        <f>IF(PRENDAS!$B153="","",PRENDAS!$H153)</f>
        <v/>
      </c>
      <c r="H175" s="21" t="str">
        <f>IF(PRENDAS!$B153="","",PRENDAS!$I153)</f>
        <v/>
      </c>
      <c r="I175" s="21" t="str">
        <f>IF(PRENDAS!$B153="","",PRENDAS!$J153)</f>
        <v/>
      </c>
      <c r="J175" s="21" t="str">
        <f>IF(PRENDAS!$B153="","",PRENDAS!$P153)</f>
        <v/>
      </c>
    </row>
    <row r="176" ht="15.0" customHeight="1">
      <c r="A176" s="30" t="str">
        <f>IF(PRENDAS!$B154="","",PRENDAS!$A154)</f>
        <v/>
      </c>
      <c r="B176" s="21" t="str">
        <f>IF(PRENDAS!$B154="","",PRENDAS!$B154)</f>
        <v/>
      </c>
      <c r="C176" s="21" t="str">
        <f>IF(PRENDAS!$B154="","",PRENDAS!$D154)</f>
        <v/>
      </c>
      <c r="D176" s="30" t="str">
        <f>IF(PRENDAS!$B154="","",PRENDAS!$E154)</f>
        <v/>
      </c>
      <c r="E176" s="30" t="str">
        <f>IF(PRENDAS!$B154="","",PRENDAS!$F154)</f>
        <v/>
      </c>
      <c r="F176" s="21" t="str">
        <f>IF(PRENDAS!$B154="","",PRENDAS!$G154)</f>
        <v/>
      </c>
      <c r="G176" s="21" t="str">
        <f>IF(PRENDAS!$B154="","",PRENDAS!$H154)</f>
        <v/>
      </c>
      <c r="H176" s="21" t="str">
        <f>IF(PRENDAS!$B154="","",PRENDAS!$I154)</f>
        <v/>
      </c>
      <c r="I176" s="21" t="str">
        <f>IF(PRENDAS!$B154="","",PRENDAS!$J154)</f>
        <v/>
      </c>
      <c r="J176" s="21" t="str">
        <f>IF(PRENDAS!$B154="","",PRENDAS!$P154)</f>
        <v/>
      </c>
    </row>
    <row r="177" ht="15.0" customHeight="1">
      <c r="A177" s="30" t="str">
        <f>IF(PRENDAS!$B155="","",PRENDAS!$A155)</f>
        <v/>
      </c>
      <c r="B177" s="21" t="str">
        <f>IF(PRENDAS!$B155="","",PRENDAS!$B155)</f>
        <v/>
      </c>
      <c r="C177" s="21" t="str">
        <f>IF(PRENDAS!$B155="","",PRENDAS!$D155)</f>
        <v/>
      </c>
      <c r="D177" s="30" t="str">
        <f>IF(PRENDAS!$B155="","",PRENDAS!$E155)</f>
        <v/>
      </c>
      <c r="E177" s="30" t="str">
        <f>IF(PRENDAS!$B155="","",PRENDAS!$F155)</f>
        <v/>
      </c>
      <c r="F177" s="21" t="str">
        <f>IF(PRENDAS!$B155="","",PRENDAS!$G155)</f>
        <v/>
      </c>
      <c r="G177" s="21" t="str">
        <f>IF(PRENDAS!$B155="","",PRENDAS!$H155)</f>
        <v/>
      </c>
      <c r="H177" s="21" t="str">
        <f>IF(PRENDAS!$B155="","",PRENDAS!$I155)</f>
        <v/>
      </c>
      <c r="I177" s="21" t="str">
        <f>IF(PRENDAS!$B155="","",PRENDAS!$J155)</f>
        <v/>
      </c>
      <c r="J177" s="21" t="str">
        <f>IF(PRENDAS!$B155="","",PRENDAS!$P155)</f>
        <v/>
      </c>
    </row>
    <row r="178" ht="15.0" customHeight="1">
      <c r="A178" s="30" t="str">
        <f>IF(PRENDAS!$B156="","",PRENDAS!$A156)</f>
        <v/>
      </c>
      <c r="B178" s="21" t="str">
        <f>IF(PRENDAS!$B156="","",PRENDAS!$B156)</f>
        <v/>
      </c>
      <c r="C178" s="21" t="str">
        <f>IF(PRENDAS!$B156="","",PRENDAS!$D156)</f>
        <v/>
      </c>
      <c r="D178" s="30" t="str">
        <f>IF(PRENDAS!$B156="","",PRENDAS!$E156)</f>
        <v/>
      </c>
      <c r="E178" s="30" t="str">
        <f>IF(PRENDAS!$B156="","",PRENDAS!$F156)</f>
        <v/>
      </c>
      <c r="F178" s="21" t="str">
        <f>IF(PRENDAS!$B156="","",PRENDAS!$G156)</f>
        <v/>
      </c>
      <c r="G178" s="21" t="str">
        <f>IF(PRENDAS!$B156="","",PRENDAS!$H156)</f>
        <v/>
      </c>
      <c r="H178" s="21" t="str">
        <f>IF(PRENDAS!$B156="","",PRENDAS!$I156)</f>
        <v/>
      </c>
      <c r="I178" s="21" t="str">
        <f>IF(PRENDAS!$B156="","",PRENDAS!$J156)</f>
        <v/>
      </c>
      <c r="J178" s="21" t="str">
        <f>IF(PRENDAS!$B156="","",PRENDAS!$P156)</f>
        <v/>
      </c>
    </row>
    <row r="179" ht="15.0" customHeight="1">
      <c r="A179" s="30" t="str">
        <f>IF(PRENDAS!$B157="","",PRENDAS!$A157)</f>
        <v/>
      </c>
      <c r="B179" s="21" t="str">
        <f>IF(PRENDAS!$B157="","",PRENDAS!$B157)</f>
        <v/>
      </c>
      <c r="C179" s="21" t="str">
        <f>IF(PRENDAS!$B157="","",PRENDAS!$D157)</f>
        <v/>
      </c>
      <c r="D179" s="30" t="str">
        <f>IF(PRENDAS!$B157="","",PRENDAS!$E157)</f>
        <v/>
      </c>
      <c r="E179" s="30" t="str">
        <f>IF(PRENDAS!$B157="","",PRENDAS!$F157)</f>
        <v/>
      </c>
      <c r="F179" s="21" t="str">
        <f>IF(PRENDAS!$B157="","",PRENDAS!$G157)</f>
        <v/>
      </c>
      <c r="G179" s="21" t="str">
        <f>IF(PRENDAS!$B157="","",PRENDAS!$H157)</f>
        <v/>
      </c>
      <c r="H179" s="21" t="str">
        <f>IF(PRENDAS!$B157="","",PRENDAS!$I157)</f>
        <v/>
      </c>
      <c r="I179" s="21" t="str">
        <f>IF(PRENDAS!$B157="","",PRENDAS!$J157)</f>
        <v/>
      </c>
      <c r="J179" s="21" t="str">
        <f>IF(PRENDAS!$B157="","",PRENDAS!$P157)</f>
        <v/>
      </c>
    </row>
    <row r="180" ht="15.0" customHeight="1">
      <c r="A180" s="30" t="str">
        <f>IF(PRENDAS!$B158="","",PRENDAS!$A158)</f>
        <v/>
      </c>
      <c r="B180" s="21" t="str">
        <f>IF(PRENDAS!$B158="","",PRENDAS!$B158)</f>
        <v/>
      </c>
      <c r="C180" s="21" t="str">
        <f>IF(PRENDAS!$B158="","",PRENDAS!$D158)</f>
        <v/>
      </c>
      <c r="D180" s="30" t="str">
        <f>IF(PRENDAS!$B158="","",PRENDAS!$E158)</f>
        <v/>
      </c>
      <c r="E180" s="30" t="str">
        <f>IF(PRENDAS!$B158="","",PRENDAS!$F158)</f>
        <v/>
      </c>
      <c r="F180" s="21" t="str">
        <f>IF(PRENDAS!$B158="","",PRENDAS!$G158)</f>
        <v/>
      </c>
      <c r="G180" s="21" t="str">
        <f>IF(PRENDAS!$B158="","",PRENDAS!$H158)</f>
        <v/>
      </c>
      <c r="H180" s="21" t="str">
        <f>IF(PRENDAS!$B158="","",PRENDAS!$I158)</f>
        <v/>
      </c>
      <c r="I180" s="21" t="str">
        <f>IF(PRENDAS!$B158="","",PRENDAS!$J158)</f>
        <v/>
      </c>
      <c r="J180" s="21" t="str">
        <f>IF(PRENDAS!$B158="","",PRENDAS!$P158)</f>
        <v/>
      </c>
    </row>
    <row r="181" ht="15.0" customHeight="1">
      <c r="A181" s="30" t="str">
        <f>IF(PRENDAS!$B159="","",PRENDAS!$A159)</f>
        <v/>
      </c>
      <c r="B181" s="21" t="str">
        <f>IF(PRENDAS!$B159="","",PRENDAS!$B159)</f>
        <v/>
      </c>
      <c r="C181" s="21" t="str">
        <f>IF(PRENDAS!$B159="","",PRENDAS!$D159)</f>
        <v/>
      </c>
      <c r="D181" s="30" t="str">
        <f>IF(PRENDAS!$B159="","",PRENDAS!$E159)</f>
        <v/>
      </c>
      <c r="E181" s="30" t="str">
        <f>IF(PRENDAS!$B159="","",PRENDAS!$F159)</f>
        <v/>
      </c>
      <c r="F181" s="21" t="str">
        <f>IF(PRENDAS!$B159="","",PRENDAS!$G159)</f>
        <v/>
      </c>
      <c r="G181" s="21" t="str">
        <f>IF(PRENDAS!$B159="","",PRENDAS!$H159)</f>
        <v/>
      </c>
      <c r="H181" s="21" t="str">
        <f>IF(PRENDAS!$B159="","",PRENDAS!$I159)</f>
        <v/>
      </c>
      <c r="I181" s="21" t="str">
        <f>IF(PRENDAS!$B159="","",PRENDAS!$J159)</f>
        <v/>
      </c>
      <c r="J181" s="21" t="str">
        <f>IF(PRENDAS!$B159="","",PRENDAS!$P159)</f>
        <v/>
      </c>
    </row>
    <row r="182" ht="15.0" customHeight="1">
      <c r="A182" s="30" t="str">
        <f>IF(PRENDAS!$B160="","",PRENDAS!$A160)</f>
        <v/>
      </c>
      <c r="B182" s="21" t="str">
        <f>IF(PRENDAS!$B160="","",PRENDAS!$B160)</f>
        <v/>
      </c>
      <c r="C182" s="21" t="str">
        <f>IF(PRENDAS!$B160="","",PRENDAS!$D160)</f>
        <v/>
      </c>
      <c r="D182" s="30" t="str">
        <f>IF(PRENDAS!$B160="","",PRENDAS!$E160)</f>
        <v/>
      </c>
      <c r="E182" s="30" t="str">
        <f>IF(PRENDAS!$B160="","",PRENDAS!$F160)</f>
        <v/>
      </c>
      <c r="F182" s="21" t="str">
        <f>IF(PRENDAS!$B160="","",PRENDAS!$G160)</f>
        <v/>
      </c>
      <c r="G182" s="21" t="str">
        <f>IF(PRENDAS!$B160="","",PRENDAS!$H160)</f>
        <v/>
      </c>
      <c r="H182" s="21" t="str">
        <f>IF(PRENDAS!$B160="","",PRENDAS!$I160)</f>
        <v/>
      </c>
      <c r="I182" s="21" t="str">
        <f>IF(PRENDAS!$B160="","",PRENDAS!$J160)</f>
        <v/>
      </c>
      <c r="J182" s="21" t="str">
        <f>IF(PRENDAS!$B160="","",PRENDAS!$P160)</f>
        <v/>
      </c>
    </row>
    <row r="183" ht="15.0" customHeight="1">
      <c r="A183" s="30" t="str">
        <f>IF(PRENDAS!$B161="","",PRENDAS!$A161)</f>
        <v/>
      </c>
      <c r="B183" s="21" t="str">
        <f>IF(PRENDAS!$B161="","",PRENDAS!$B161)</f>
        <v/>
      </c>
      <c r="C183" s="21" t="str">
        <f>IF(PRENDAS!$B161="","",PRENDAS!$D161)</f>
        <v/>
      </c>
      <c r="D183" s="30" t="str">
        <f>IF(PRENDAS!$B161="","",PRENDAS!$E161)</f>
        <v/>
      </c>
      <c r="E183" s="30" t="str">
        <f>IF(PRENDAS!$B161="","",PRENDAS!$F161)</f>
        <v/>
      </c>
      <c r="F183" s="21" t="str">
        <f>IF(PRENDAS!$B161="","",PRENDAS!$G161)</f>
        <v/>
      </c>
      <c r="G183" s="21" t="str">
        <f>IF(PRENDAS!$B161="","",PRENDAS!$H161)</f>
        <v/>
      </c>
      <c r="H183" s="21" t="str">
        <f>IF(PRENDAS!$B161="","",PRENDAS!$I161)</f>
        <v/>
      </c>
      <c r="I183" s="21" t="str">
        <f>IF(PRENDAS!$B161="","",PRENDAS!$J161)</f>
        <v/>
      </c>
      <c r="J183" s="21" t="str">
        <f>IF(PRENDAS!$B161="","",PRENDAS!$P161)</f>
        <v/>
      </c>
    </row>
    <row r="184" ht="15.0" customHeight="1">
      <c r="A184" s="30" t="str">
        <f>IF(PRENDAS!$B162="","",PRENDAS!$A162)</f>
        <v/>
      </c>
      <c r="B184" s="21" t="str">
        <f>IF(PRENDAS!$B162="","",PRENDAS!$B162)</f>
        <v/>
      </c>
      <c r="C184" s="21" t="str">
        <f>IF(PRENDAS!$B162="","",PRENDAS!$D162)</f>
        <v/>
      </c>
      <c r="D184" s="30" t="str">
        <f>IF(PRENDAS!$B162="","",PRENDAS!$E162)</f>
        <v/>
      </c>
      <c r="E184" s="30" t="str">
        <f>IF(PRENDAS!$B162="","",PRENDAS!$F162)</f>
        <v/>
      </c>
      <c r="F184" s="21" t="str">
        <f>IF(PRENDAS!$B162="","",PRENDAS!$G162)</f>
        <v/>
      </c>
      <c r="G184" s="21" t="str">
        <f>IF(PRENDAS!$B162="","",PRENDAS!$H162)</f>
        <v/>
      </c>
      <c r="H184" s="21" t="str">
        <f>IF(PRENDAS!$B162="","",PRENDAS!$I162)</f>
        <v/>
      </c>
      <c r="I184" s="21" t="str">
        <f>IF(PRENDAS!$B162="","",PRENDAS!$J162)</f>
        <v/>
      </c>
      <c r="J184" s="21" t="str">
        <f>IF(PRENDAS!$B162="","",PRENDAS!$P162)</f>
        <v/>
      </c>
    </row>
    <row r="185" ht="15.0" customHeight="1">
      <c r="A185" s="30" t="str">
        <f>IF(PRENDAS!$B163="","",PRENDAS!$A163)</f>
        <v/>
      </c>
      <c r="B185" s="21" t="str">
        <f>IF(PRENDAS!$B163="","",PRENDAS!$B163)</f>
        <v/>
      </c>
      <c r="C185" s="21" t="str">
        <f>IF(PRENDAS!$B163="","",PRENDAS!$D163)</f>
        <v/>
      </c>
      <c r="D185" s="30" t="str">
        <f>IF(PRENDAS!$B163="","",PRENDAS!$E163)</f>
        <v/>
      </c>
      <c r="E185" s="30" t="str">
        <f>IF(PRENDAS!$B163="","",PRENDAS!$F163)</f>
        <v/>
      </c>
      <c r="F185" s="21" t="str">
        <f>IF(PRENDAS!$B163="","",PRENDAS!$G163)</f>
        <v/>
      </c>
      <c r="G185" s="21" t="str">
        <f>IF(PRENDAS!$B163="","",PRENDAS!$H163)</f>
        <v/>
      </c>
      <c r="H185" s="21" t="str">
        <f>IF(PRENDAS!$B163="","",PRENDAS!$I163)</f>
        <v/>
      </c>
      <c r="I185" s="21" t="str">
        <f>IF(PRENDAS!$B163="","",PRENDAS!$J163)</f>
        <v/>
      </c>
      <c r="J185" s="21" t="str">
        <f>IF(PRENDAS!$B163="","",PRENDAS!$P163)</f>
        <v/>
      </c>
    </row>
    <row r="186" ht="15.0" customHeight="1">
      <c r="A186" s="30" t="str">
        <f>IF(PRENDAS!$B164="","",PRENDAS!$A164)</f>
        <v/>
      </c>
      <c r="B186" s="21" t="str">
        <f>IF(PRENDAS!$B164="","",PRENDAS!$B164)</f>
        <v/>
      </c>
      <c r="C186" s="21" t="str">
        <f>IF(PRENDAS!$B164="","",PRENDAS!$D164)</f>
        <v/>
      </c>
      <c r="D186" s="30" t="str">
        <f>IF(PRENDAS!$B164="","",PRENDAS!$E164)</f>
        <v/>
      </c>
      <c r="E186" s="30" t="str">
        <f>IF(PRENDAS!$B164="","",PRENDAS!$F164)</f>
        <v/>
      </c>
      <c r="F186" s="21" t="str">
        <f>IF(PRENDAS!$B164="","",PRENDAS!$G164)</f>
        <v/>
      </c>
      <c r="G186" s="21" t="str">
        <f>IF(PRENDAS!$B164="","",PRENDAS!$H164)</f>
        <v/>
      </c>
      <c r="H186" s="21" t="str">
        <f>IF(PRENDAS!$B164="","",PRENDAS!$I164)</f>
        <v/>
      </c>
      <c r="I186" s="21" t="str">
        <f>IF(PRENDAS!$B164="","",PRENDAS!$J164)</f>
        <v/>
      </c>
      <c r="J186" s="21" t="str">
        <f>IF(PRENDAS!$B164="","",PRENDAS!$P164)</f>
        <v/>
      </c>
    </row>
    <row r="187" ht="15.0" customHeight="1">
      <c r="A187" s="30" t="str">
        <f>IF(PRENDAS!$B165="","",PRENDAS!$A165)</f>
        <v/>
      </c>
      <c r="B187" s="21" t="str">
        <f>IF(PRENDAS!$B165="","",PRENDAS!$B165)</f>
        <v/>
      </c>
      <c r="C187" s="21" t="str">
        <f>IF(PRENDAS!$B165="","",PRENDAS!$D165)</f>
        <v/>
      </c>
      <c r="D187" s="30" t="str">
        <f>IF(PRENDAS!$B165="","",PRENDAS!$E165)</f>
        <v/>
      </c>
      <c r="E187" s="30" t="str">
        <f>IF(PRENDAS!$B165="","",PRENDAS!$F165)</f>
        <v/>
      </c>
      <c r="F187" s="21" t="str">
        <f>IF(PRENDAS!$B165="","",PRENDAS!$G165)</f>
        <v/>
      </c>
      <c r="G187" s="21" t="str">
        <f>IF(PRENDAS!$B165="","",PRENDAS!$H165)</f>
        <v/>
      </c>
      <c r="H187" s="21" t="str">
        <f>IF(PRENDAS!$B165="","",PRENDAS!$I165)</f>
        <v/>
      </c>
      <c r="I187" s="21" t="str">
        <f>IF(PRENDAS!$B165="","",PRENDAS!$J165)</f>
        <v/>
      </c>
      <c r="J187" s="21" t="str">
        <f>IF(PRENDAS!$B165="","",PRENDAS!$P165)</f>
        <v/>
      </c>
    </row>
    <row r="188" ht="15.0" customHeight="1">
      <c r="A188" s="30" t="str">
        <f>IF(PRENDAS!$B166="","",PRENDAS!$A166)</f>
        <v/>
      </c>
      <c r="B188" s="21" t="str">
        <f>IF(PRENDAS!$B166="","",PRENDAS!$B166)</f>
        <v/>
      </c>
      <c r="C188" s="21" t="str">
        <f>IF(PRENDAS!$B166="","",PRENDAS!$D166)</f>
        <v/>
      </c>
      <c r="D188" s="30" t="str">
        <f>IF(PRENDAS!$B166="","",PRENDAS!$E166)</f>
        <v/>
      </c>
      <c r="E188" s="30" t="str">
        <f>IF(PRENDAS!$B166="","",PRENDAS!$F166)</f>
        <v/>
      </c>
      <c r="F188" s="21" t="str">
        <f>IF(PRENDAS!$B166="","",PRENDAS!$G166)</f>
        <v/>
      </c>
      <c r="G188" s="21" t="str">
        <f>IF(PRENDAS!$B166="","",PRENDAS!$H166)</f>
        <v/>
      </c>
      <c r="H188" s="21" t="str">
        <f>IF(PRENDAS!$B166="","",PRENDAS!$I166)</f>
        <v/>
      </c>
      <c r="I188" s="21" t="str">
        <f>IF(PRENDAS!$B166="","",PRENDAS!$J166)</f>
        <v/>
      </c>
      <c r="J188" s="21" t="str">
        <f>IF(PRENDAS!$B166="","",PRENDAS!$P166)</f>
        <v/>
      </c>
    </row>
    <row r="189" ht="15.0" customHeight="1">
      <c r="A189" s="30" t="str">
        <f>IF(PRENDAS!$B167="","",PRENDAS!$A167)</f>
        <v/>
      </c>
      <c r="B189" s="21" t="str">
        <f>IF(PRENDAS!$B167="","",PRENDAS!$B167)</f>
        <v/>
      </c>
      <c r="C189" s="21" t="str">
        <f>IF(PRENDAS!$B167="","",PRENDAS!$D167)</f>
        <v/>
      </c>
      <c r="D189" s="30" t="str">
        <f>IF(PRENDAS!$B167="","",PRENDAS!$E167)</f>
        <v/>
      </c>
      <c r="E189" s="30" t="str">
        <f>IF(PRENDAS!$B167="","",PRENDAS!$F167)</f>
        <v/>
      </c>
      <c r="F189" s="21" t="str">
        <f>IF(PRENDAS!$B167="","",PRENDAS!$G167)</f>
        <v/>
      </c>
      <c r="G189" s="21" t="str">
        <f>IF(PRENDAS!$B167="","",PRENDAS!$H167)</f>
        <v/>
      </c>
      <c r="H189" s="21" t="str">
        <f>IF(PRENDAS!$B167="","",PRENDAS!$I167)</f>
        <v/>
      </c>
      <c r="I189" s="21" t="str">
        <f>IF(PRENDAS!$B167="","",PRENDAS!$J167)</f>
        <v/>
      </c>
      <c r="J189" s="21" t="str">
        <f>IF(PRENDAS!$B167="","",PRENDAS!$P167)</f>
        <v/>
      </c>
    </row>
    <row r="190" ht="15.0" customHeight="1">
      <c r="A190" s="30" t="str">
        <f>IF(PRENDAS!$B168="","",PRENDAS!$A168)</f>
        <v/>
      </c>
      <c r="B190" s="21" t="str">
        <f>IF(PRENDAS!$B168="","",PRENDAS!$B168)</f>
        <v/>
      </c>
      <c r="C190" s="21" t="str">
        <f>IF(PRENDAS!$B168="","",PRENDAS!$D168)</f>
        <v/>
      </c>
      <c r="D190" s="30" t="str">
        <f>IF(PRENDAS!$B168="","",PRENDAS!$E168)</f>
        <v/>
      </c>
      <c r="E190" s="30" t="str">
        <f>IF(PRENDAS!$B168="","",PRENDAS!$F168)</f>
        <v/>
      </c>
      <c r="F190" s="21" t="str">
        <f>IF(PRENDAS!$B168="","",PRENDAS!$G168)</f>
        <v/>
      </c>
      <c r="G190" s="21" t="str">
        <f>IF(PRENDAS!$B168="","",PRENDAS!$H168)</f>
        <v/>
      </c>
      <c r="H190" s="21" t="str">
        <f>IF(PRENDAS!$B168="","",PRENDAS!$I168)</f>
        <v/>
      </c>
      <c r="I190" s="21" t="str">
        <f>IF(PRENDAS!$B168="","",PRENDAS!$J168)</f>
        <v/>
      </c>
      <c r="J190" s="21" t="str">
        <f>IF(PRENDAS!$B168="","",PRENDAS!$P168)</f>
        <v/>
      </c>
    </row>
    <row r="191" ht="15.0" customHeight="1">
      <c r="A191" s="30" t="str">
        <f>IF(PRENDAS!$B169="","",PRENDAS!$A169)</f>
        <v/>
      </c>
      <c r="B191" s="21" t="str">
        <f>IF(PRENDAS!$B169="","",PRENDAS!$B169)</f>
        <v/>
      </c>
      <c r="C191" s="21" t="str">
        <f>IF(PRENDAS!$B169="","",PRENDAS!$D169)</f>
        <v/>
      </c>
      <c r="D191" s="30" t="str">
        <f>IF(PRENDAS!$B169="","",PRENDAS!$E169)</f>
        <v/>
      </c>
      <c r="E191" s="30" t="str">
        <f>IF(PRENDAS!$B169="","",PRENDAS!$F169)</f>
        <v/>
      </c>
      <c r="F191" s="21" t="str">
        <f>IF(PRENDAS!$B169="","",PRENDAS!$G169)</f>
        <v/>
      </c>
      <c r="G191" s="21" t="str">
        <f>IF(PRENDAS!$B169="","",PRENDAS!$H169)</f>
        <v/>
      </c>
      <c r="H191" s="21" t="str">
        <f>IF(PRENDAS!$B169="","",PRENDAS!$I169)</f>
        <v/>
      </c>
      <c r="I191" s="21" t="str">
        <f>IF(PRENDAS!$B169="","",PRENDAS!$J169)</f>
        <v/>
      </c>
      <c r="J191" s="21" t="str">
        <f>IF(PRENDAS!$B169="","",PRENDAS!$P169)</f>
        <v/>
      </c>
    </row>
    <row r="192" ht="15.0" customHeight="1">
      <c r="A192" s="30" t="str">
        <f>IF(PRENDAS!$B170="","",PRENDAS!$A170)</f>
        <v/>
      </c>
      <c r="B192" s="21" t="str">
        <f>IF(PRENDAS!$B170="","",PRENDAS!$B170)</f>
        <v/>
      </c>
      <c r="C192" s="21" t="str">
        <f>IF(PRENDAS!$B170="","",PRENDAS!$D170)</f>
        <v/>
      </c>
      <c r="D192" s="30" t="str">
        <f>IF(PRENDAS!$B170="","",PRENDAS!$E170)</f>
        <v/>
      </c>
      <c r="E192" s="30" t="str">
        <f>IF(PRENDAS!$B170="","",PRENDAS!$F170)</f>
        <v/>
      </c>
      <c r="F192" s="21" t="str">
        <f>IF(PRENDAS!$B170="","",PRENDAS!$G170)</f>
        <v/>
      </c>
      <c r="G192" s="21" t="str">
        <f>IF(PRENDAS!$B170="","",PRENDAS!$H170)</f>
        <v/>
      </c>
      <c r="H192" s="21" t="str">
        <f>IF(PRENDAS!$B170="","",PRENDAS!$I170)</f>
        <v/>
      </c>
      <c r="I192" s="21" t="str">
        <f>IF(PRENDAS!$B170="","",PRENDAS!$J170)</f>
        <v/>
      </c>
      <c r="J192" s="21" t="str">
        <f>IF(PRENDAS!$B170="","",PRENDAS!$P170)</f>
        <v/>
      </c>
    </row>
    <row r="193" ht="15.0" customHeight="1">
      <c r="A193" s="30" t="str">
        <f>IF(PRENDAS!$B171="","",PRENDAS!$A171)</f>
        <v/>
      </c>
      <c r="B193" s="21" t="str">
        <f>IF(PRENDAS!$B171="","",PRENDAS!$B171)</f>
        <v/>
      </c>
      <c r="C193" s="21" t="str">
        <f>IF(PRENDAS!$B171="","",PRENDAS!$D171)</f>
        <v/>
      </c>
      <c r="D193" s="30" t="str">
        <f>IF(PRENDAS!$B171="","",PRENDAS!$E171)</f>
        <v/>
      </c>
      <c r="E193" s="30" t="str">
        <f>IF(PRENDAS!$B171="","",PRENDAS!$F171)</f>
        <v/>
      </c>
      <c r="F193" s="21" t="str">
        <f>IF(PRENDAS!$B171="","",PRENDAS!$G171)</f>
        <v/>
      </c>
      <c r="G193" s="21" t="str">
        <f>IF(PRENDAS!$B171="","",PRENDAS!$H171)</f>
        <v/>
      </c>
      <c r="H193" s="21" t="str">
        <f>IF(PRENDAS!$B171="","",PRENDAS!$I171)</f>
        <v/>
      </c>
      <c r="I193" s="21" t="str">
        <f>IF(PRENDAS!$B171="","",PRENDAS!$J171)</f>
        <v/>
      </c>
      <c r="J193" s="21" t="str">
        <f>IF(PRENDAS!$B171="","",PRENDAS!$P171)</f>
        <v/>
      </c>
    </row>
    <row r="194" ht="15.0" customHeight="1">
      <c r="A194" s="30" t="str">
        <f>IF(PRENDAS!$B172="","",PRENDAS!$A172)</f>
        <v/>
      </c>
      <c r="B194" s="21" t="str">
        <f>IF(PRENDAS!$B172="","",PRENDAS!$B172)</f>
        <v/>
      </c>
      <c r="C194" s="21" t="str">
        <f>IF(PRENDAS!$B172="","",PRENDAS!$D172)</f>
        <v/>
      </c>
      <c r="D194" s="30" t="str">
        <f>IF(PRENDAS!$B172="","",PRENDAS!$E172)</f>
        <v/>
      </c>
      <c r="E194" s="30" t="str">
        <f>IF(PRENDAS!$B172="","",PRENDAS!$F172)</f>
        <v/>
      </c>
      <c r="F194" s="21" t="str">
        <f>IF(PRENDAS!$B172="","",PRENDAS!$G172)</f>
        <v/>
      </c>
      <c r="G194" s="21" t="str">
        <f>IF(PRENDAS!$B172="","",PRENDAS!$H172)</f>
        <v/>
      </c>
      <c r="H194" s="21" t="str">
        <f>IF(PRENDAS!$B172="","",PRENDAS!$I172)</f>
        <v/>
      </c>
      <c r="I194" s="21" t="str">
        <f>IF(PRENDAS!$B172="","",PRENDAS!$J172)</f>
        <v/>
      </c>
      <c r="J194" s="21" t="str">
        <f>IF(PRENDAS!$B172="","",PRENDAS!$P172)</f>
        <v/>
      </c>
    </row>
    <row r="195" ht="15.0" customHeight="1">
      <c r="A195" s="30" t="str">
        <f>IF(PRENDAS!$B173="","",PRENDAS!$A173)</f>
        <v/>
      </c>
      <c r="B195" s="21" t="str">
        <f>IF(PRENDAS!$B173="","",PRENDAS!$B173)</f>
        <v/>
      </c>
      <c r="C195" s="21" t="str">
        <f>IF(PRENDAS!$B173="","",PRENDAS!$D173)</f>
        <v/>
      </c>
      <c r="D195" s="30" t="str">
        <f>IF(PRENDAS!$B173="","",PRENDAS!$E173)</f>
        <v/>
      </c>
      <c r="E195" s="30" t="str">
        <f>IF(PRENDAS!$B173="","",PRENDAS!$F173)</f>
        <v/>
      </c>
      <c r="F195" s="21" t="str">
        <f>IF(PRENDAS!$B173="","",PRENDAS!$G173)</f>
        <v/>
      </c>
      <c r="G195" s="21" t="str">
        <f>IF(PRENDAS!$B173="","",PRENDAS!$H173)</f>
        <v/>
      </c>
      <c r="H195" s="21" t="str">
        <f>IF(PRENDAS!$B173="","",PRENDAS!$I173)</f>
        <v/>
      </c>
      <c r="I195" s="21" t="str">
        <f>IF(PRENDAS!$B173="","",PRENDAS!$J173)</f>
        <v/>
      </c>
      <c r="J195" s="21" t="str">
        <f>IF(PRENDAS!$B173="","",PRENDAS!$P173)</f>
        <v/>
      </c>
    </row>
    <row r="196" ht="15.0" customHeight="1">
      <c r="A196" s="30" t="str">
        <f>IF(PRENDAS!$B174="","",PRENDAS!$A174)</f>
        <v/>
      </c>
      <c r="B196" s="21" t="str">
        <f>IF(PRENDAS!$B174="","",PRENDAS!$B174)</f>
        <v/>
      </c>
      <c r="C196" s="21" t="str">
        <f>IF(PRENDAS!$B174="","",PRENDAS!$D174)</f>
        <v/>
      </c>
      <c r="D196" s="30" t="str">
        <f>IF(PRENDAS!$B174="","",PRENDAS!$E174)</f>
        <v/>
      </c>
      <c r="E196" s="30" t="str">
        <f>IF(PRENDAS!$B174="","",PRENDAS!$F174)</f>
        <v/>
      </c>
      <c r="F196" s="21" t="str">
        <f>IF(PRENDAS!$B174="","",PRENDAS!$G174)</f>
        <v/>
      </c>
      <c r="G196" s="21" t="str">
        <f>IF(PRENDAS!$B174="","",PRENDAS!$H174)</f>
        <v/>
      </c>
      <c r="H196" s="21" t="str">
        <f>IF(PRENDAS!$B174="","",PRENDAS!$I174)</f>
        <v/>
      </c>
      <c r="I196" s="21" t="str">
        <f>IF(PRENDAS!$B174="","",PRENDAS!$J174)</f>
        <v/>
      </c>
      <c r="J196" s="21" t="str">
        <f>IF(PRENDAS!$B174="","",PRENDAS!$P174)</f>
        <v/>
      </c>
    </row>
    <row r="197" ht="15.0" customHeight="1">
      <c r="A197" s="30" t="str">
        <f>IF(PRENDAS!$B175="","",PRENDAS!$A175)</f>
        <v/>
      </c>
      <c r="B197" s="21" t="str">
        <f>IF(PRENDAS!$B175="","",PRENDAS!$B175)</f>
        <v/>
      </c>
      <c r="C197" s="21" t="str">
        <f>IF(PRENDAS!$B175="","",PRENDAS!$D175)</f>
        <v/>
      </c>
      <c r="D197" s="30" t="str">
        <f>IF(PRENDAS!$B175="","",PRENDAS!$E175)</f>
        <v/>
      </c>
      <c r="E197" s="30" t="str">
        <f>IF(PRENDAS!$B175="","",PRENDAS!$F175)</f>
        <v/>
      </c>
      <c r="F197" s="21" t="str">
        <f>IF(PRENDAS!$B175="","",PRENDAS!$G175)</f>
        <v/>
      </c>
      <c r="G197" s="21" t="str">
        <f>IF(PRENDAS!$B175="","",PRENDAS!$H175)</f>
        <v/>
      </c>
      <c r="H197" s="21" t="str">
        <f>IF(PRENDAS!$B175="","",PRENDAS!$I175)</f>
        <v/>
      </c>
      <c r="I197" s="21" t="str">
        <f>IF(PRENDAS!$B175="","",PRENDAS!$J175)</f>
        <v/>
      </c>
      <c r="J197" s="21" t="str">
        <f>IF(PRENDAS!$B175="","",PRENDAS!$P175)</f>
        <v/>
      </c>
    </row>
    <row r="198" ht="15.0" customHeight="1">
      <c r="A198" s="30" t="str">
        <f>IF(PRENDAS!$B176="","",PRENDAS!$A176)</f>
        <v/>
      </c>
      <c r="B198" s="21" t="str">
        <f>IF(PRENDAS!$B176="","",PRENDAS!$B176)</f>
        <v/>
      </c>
      <c r="C198" s="21" t="str">
        <f>IF(PRENDAS!$B176="","",PRENDAS!$D176)</f>
        <v/>
      </c>
      <c r="D198" s="30" t="str">
        <f>IF(PRENDAS!$B176="","",PRENDAS!$E176)</f>
        <v/>
      </c>
      <c r="E198" s="30" t="str">
        <f>IF(PRENDAS!$B176="","",PRENDAS!$F176)</f>
        <v/>
      </c>
      <c r="F198" s="21" t="str">
        <f>IF(PRENDAS!$B176="","",PRENDAS!$G176)</f>
        <v/>
      </c>
      <c r="G198" s="21" t="str">
        <f>IF(PRENDAS!$B176="","",PRENDAS!$H176)</f>
        <v/>
      </c>
      <c r="H198" s="21" t="str">
        <f>IF(PRENDAS!$B176="","",PRENDAS!$I176)</f>
        <v/>
      </c>
      <c r="I198" s="21" t="str">
        <f>IF(PRENDAS!$B176="","",PRENDAS!$J176)</f>
        <v/>
      </c>
      <c r="J198" s="21" t="str">
        <f>IF(PRENDAS!$B176="","",PRENDAS!$P176)</f>
        <v/>
      </c>
    </row>
    <row r="199" ht="15.0" customHeight="1">
      <c r="A199" s="30" t="str">
        <f>IF(PRENDAS!$B177="","",PRENDAS!$A177)</f>
        <v/>
      </c>
      <c r="B199" s="21" t="str">
        <f>IF(PRENDAS!$B177="","",PRENDAS!$B177)</f>
        <v/>
      </c>
      <c r="C199" s="21" t="str">
        <f>IF(PRENDAS!$B177="","",PRENDAS!$D177)</f>
        <v/>
      </c>
      <c r="D199" s="30" t="str">
        <f>IF(PRENDAS!$B177="","",PRENDAS!$E177)</f>
        <v/>
      </c>
      <c r="E199" s="30" t="str">
        <f>IF(PRENDAS!$B177="","",PRENDAS!$F177)</f>
        <v/>
      </c>
      <c r="F199" s="21" t="str">
        <f>IF(PRENDAS!$B177="","",PRENDAS!$G177)</f>
        <v/>
      </c>
      <c r="G199" s="21" t="str">
        <f>IF(PRENDAS!$B177="","",PRENDAS!$H177)</f>
        <v/>
      </c>
      <c r="H199" s="21" t="str">
        <f>IF(PRENDAS!$B177="","",PRENDAS!$I177)</f>
        <v/>
      </c>
      <c r="I199" s="21" t="str">
        <f>IF(PRENDAS!$B177="","",PRENDAS!$J177)</f>
        <v/>
      </c>
      <c r="J199" s="21" t="str">
        <f>IF(PRENDAS!$B177="","",PRENDAS!$P177)</f>
        <v/>
      </c>
    </row>
    <row r="200" ht="15.0" customHeight="1">
      <c r="A200" s="30" t="str">
        <f>IF(PRENDAS!$B178="","",PRENDAS!$A178)</f>
        <v/>
      </c>
      <c r="B200" s="21" t="str">
        <f>IF(PRENDAS!$B178="","",PRENDAS!$B178)</f>
        <v/>
      </c>
      <c r="C200" s="21" t="str">
        <f>IF(PRENDAS!$B178="","",PRENDAS!$D178)</f>
        <v/>
      </c>
      <c r="D200" s="30" t="str">
        <f>IF(PRENDAS!$B178="","",PRENDAS!$E178)</f>
        <v/>
      </c>
      <c r="E200" s="30" t="str">
        <f>IF(PRENDAS!$B178="","",PRENDAS!$F178)</f>
        <v/>
      </c>
      <c r="F200" s="21" t="str">
        <f>IF(PRENDAS!$B178="","",PRENDAS!$G178)</f>
        <v/>
      </c>
      <c r="G200" s="21" t="str">
        <f>IF(PRENDAS!$B178="","",PRENDAS!$H178)</f>
        <v/>
      </c>
      <c r="H200" s="21" t="str">
        <f>IF(PRENDAS!$B178="","",PRENDAS!$I178)</f>
        <v/>
      </c>
      <c r="I200" s="21" t="str">
        <f>IF(PRENDAS!$B178="","",PRENDAS!$J178)</f>
        <v/>
      </c>
      <c r="J200" s="21" t="str">
        <f>IF(PRENDAS!$B178="","",PRENDAS!$P178)</f>
        <v/>
      </c>
    </row>
    <row r="201" ht="15.0" customHeight="1">
      <c r="A201" s="30" t="str">
        <f>IF(PRENDAS!$B179="","",PRENDAS!$A179)</f>
        <v/>
      </c>
      <c r="B201" s="21" t="str">
        <f>IF(PRENDAS!$B179="","",PRENDAS!$B179)</f>
        <v/>
      </c>
      <c r="C201" s="21" t="str">
        <f>IF(PRENDAS!$B179="","",PRENDAS!$D179)</f>
        <v/>
      </c>
      <c r="D201" s="30" t="str">
        <f>IF(PRENDAS!$B179="","",PRENDAS!$E179)</f>
        <v/>
      </c>
      <c r="E201" s="30" t="str">
        <f>IF(PRENDAS!$B179="","",PRENDAS!$F179)</f>
        <v/>
      </c>
      <c r="F201" s="21" t="str">
        <f>IF(PRENDAS!$B179="","",PRENDAS!$G179)</f>
        <v/>
      </c>
      <c r="G201" s="21" t="str">
        <f>IF(PRENDAS!$B179="","",PRENDAS!$H179)</f>
        <v/>
      </c>
      <c r="H201" s="21" t="str">
        <f>IF(PRENDAS!$B179="","",PRENDAS!$I179)</f>
        <v/>
      </c>
      <c r="I201" s="21" t="str">
        <f>IF(PRENDAS!$B179="","",PRENDAS!$J179)</f>
        <v/>
      </c>
      <c r="J201" s="21" t="str">
        <f>IF(PRENDAS!$B179="","",PRENDAS!$P179)</f>
        <v/>
      </c>
    </row>
    <row r="202" ht="15.0" customHeight="1">
      <c r="A202" s="30" t="str">
        <f>IF(PRENDAS!$B180="","",PRENDAS!$A180)</f>
        <v/>
      </c>
      <c r="B202" s="21" t="str">
        <f>IF(PRENDAS!$B180="","",PRENDAS!$B180)</f>
        <v/>
      </c>
      <c r="C202" s="21" t="str">
        <f>IF(PRENDAS!$B180="","",PRENDAS!$D180)</f>
        <v/>
      </c>
      <c r="D202" s="30" t="str">
        <f>IF(PRENDAS!$B180="","",PRENDAS!$E180)</f>
        <v/>
      </c>
      <c r="E202" s="30" t="str">
        <f>IF(PRENDAS!$B180="","",PRENDAS!$F180)</f>
        <v/>
      </c>
      <c r="F202" s="21" t="str">
        <f>IF(PRENDAS!$B180="","",PRENDAS!$G180)</f>
        <v/>
      </c>
      <c r="G202" s="21" t="str">
        <f>IF(PRENDAS!$B180="","",PRENDAS!$H180)</f>
        <v/>
      </c>
      <c r="H202" s="21" t="str">
        <f>IF(PRENDAS!$B180="","",PRENDAS!$I180)</f>
        <v/>
      </c>
      <c r="I202" s="21" t="str">
        <f>IF(PRENDAS!$B180="","",PRENDAS!$J180)</f>
        <v/>
      </c>
      <c r="J202" s="21" t="str">
        <f>IF(PRENDAS!$B180="","",PRENDAS!$P180)</f>
        <v/>
      </c>
    </row>
    <row r="203" ht="15.0" customHeight="1">
      <c r="A203" s="30" t="str">
        <f>IF(PRENDAS!$B181="","",PRENDAS!$A181)</f>
        <v/>
      </c>
      <c r="B203" s="21" t="str">
        <f>IF(PRENDAS!$B181="","",PRENDAS!$B181)</f>
        <v/>
      </c>
      <c r="C203" s="21" t="str">
        <f>IF(PRENDAS!$B181="","",PRENDAS!$D181)</f>
        <v/>
      </c>
      <c r="D203" s="30" t="str">
        <f>IF(PRENDAS!$B181="","",PRENDAS!$E181)</f>
        <v/>
      </c>
      <c r="E203" s="30" t="str">
        <f>IF(PRENDAS!$B181="","",PRENDAS!$F181)</f>
        <v/>
      </c>
      <c r="F203" s="21" t="str">
        <f>IF(PRENDAS!$B181="","",PRENDAS!$G181)</f>
        <v/>
      </c>
      <c r="G203" s="21" t="str">
        <f>IF(PRENDAS!$B181="","",PRENDAS!$H181)</f>
        <v/>
      </c>
      <c r="H203" s="21" t="str">
        <f>IF(PRENDAS!$B181="","",PRENDAS!$I181)</f>
        <v/>
      </c>
      <c r="I203" s="21" t="str">
        <f>IF(PRENDAS!$B181="","",PRENDAS!$J181)</f>
        <v/>
      </c>
      <c r="J203" s="21" t="str">
        <f>IF(PRENDAS!$B181="","",PRENDAS!$P181)</f>
        <v/>
      </c>
    </row>
    <row r="204" ht="15.0" customHeight="1">
      <c r="A204" s="30" t="str">
        <f>IF(PRENDAS!$B182="","",PRENDAS!$A182)</f>
        <v/>
      </c>
      <c r="B204" s="21" t="str">
        <f>IF(PRENDAS!$B182="","",PRENDAS!$B182)</f>
        <v/>
      </c>
      <c r="C204" s="21" t="str">
        <f>IF(PRENDAS!$B182="","",PRENDAS!$D182)</f>
        <v/>
      </c>
      <c r="D204" s="30" t="str">
        <f>IF(PRENDAS!$B182="","",PRENDAS!$E182)</f>
        <v/>
      </c>
      <c r="E204" s="30" t="str">
        <f>IF(PRENDAS!$B182="","",PRENDAS!$F182)</f>
        <v/>
      </c>
      <c r="F204" s="21" t="str">
        <f>IF(PRENDAS!$B182="","",PRENDAS!$G182)</f>
        <v/>
      </c>
      <c r="G204" s="21" t="str">
        <f>IF(PRENDAS!$B182="","",PRENDAS!$H182)</f>
        <v/>
      </c>
      <c r="H204" s="21" t="str">
        <f>IF(PRENDAS!$B182="","",PRENDAS!$I182)</f>
        <v/>
      </c>
      <c r="I204" s="21" t="str">
        <f>IF(PRENDAS!$B182="","",PRENDAS!$J182)</f>
        <v/>
      </c>
      <c r="J204" s="21" t="str">
        <f>IF(PRENDAS!$B182="","",PRENDAS!$P182)</f>
        <v/>
      </c>
    </row>
    <row r="205" ht="15.0" customHeight="1">
      <c r="A205" s="30" t="str">
        <f>IF(PRENDAS!$B183="","",PRENDAS!$A183)</f>
        <v/>
      </c>
      <c r="B205" s="21" t="str">
        <f>IF(PRENDAS!$B183="","",PRENDAS!$B183)</f>
        <v/>
      </c>
      <c r="C205" s="21" t="str">
        <f>IF(PRENDAS!$B183="","",PRENDAS!$D183)</f>
        <v/>
      </c>
      <c r="D205" s="30" t="str">
        <f>IF(PRENDAS!$B183="","",PRENDAS!$E183)</f>
        <v/>
      </c>
      <c r="E205" s="30" t="str">
        <f>IF(PRENDAS!$B183="","",PRENDAS!$F183)</f>
        <v/>
      </c>
      <c r="F205" s="21" t="str">
        <f>IF(PRENDAS!$B183="","",PRENDAS!$G183)</f>
        <v/>
      </c>
      <c r="G205" s="21" t="str">
        <f>IF(PRENDAS!$B183="","",PRENDAS!$H183)</f>
        <v/>
      </c>
      <c r="H205" s="21" t="str">
        <f>IF(PRENDAS!$B183="","",PRENDAS!$I183)</f>
        <v/>
      </c>
      <c r="I205" s="21" t="str">
        <f>IF(PRENDAS!$B183="","",PRENDAS!$J183)</f>
        <v/>
      </c>
      <c r="J205" s="21" t="str">
        <f>IF(PRENDAS!$B183="","",PRENDAS!$P183)</f>
        <v/>
      </c>
    </row>
    <row r="206" ht="15.0" customHeight="1">
      <c r="A206" s="30" t="str">
        <f>IF(PRENDAS!$B184="","",PRENDAS!$A184)</f>
        <v/>
      </c>
      <c r="B206" s="21" t="str">
        <f>IF(PRENDAS!$B184="","",PRENDAS!$B184)</f>
        <v/>
      </c>
      <c r="C206" s="21" t="str">
        <f>IF(PRENDAS!$B184="","",PRENDAS!$D184)</f>
        <v/>
      </c>
      <c r="D206" s="30" t="str">
        <f>IF(PRENDAS!$B184="","",PRENDAS!$E184)</f>
        <v/>
      </c>
      <c r="E206" s="30" t="str">
        <f>IF(PRENDAS!$B184="","",PRENDAS!$F184)</f>
        <v/>
      </c>
      <c r="F206" s="21" t="str">
        <f>IF(PRENDAS!$B184="","",PRENDAS!$G184)</f>
        <v/>
      </c>
      <c r="G206" s="21" t="str">
        <f>IF(PRENDAS!$B184="","",PRENDAS!$H184)</f>
        <v/>
      </c>
      <c r="H206" s="21" t="str">
        <f>IF(PRENDAS!$B184="","",PRENDAS!$I184)</f>
        <v/>
      </c>
      <c r="I206" s="21" t="str">
        <f>IF(PRENDAS!$B184="","",PRENDAS!$J184)</f>
        <v/>
      </c>
      <c r="J206" s="21" t="str">
        <f>IF(PRENDAS!$B184="","",PRENDAS!$P184)</f>
        <v/>
      </c>
    </row>
    <row r="207" ht="15.0" customHeight="1">
      <c r="A207" s="30" t="str">
        <f>IF(PRENDAS!$B185="","",PRENDAS!$A185)</f>
        <v/>
      </c>
      <c r="B207" s="21" t="str">
        <f>IF(PRENDAS!$B185="","",PRENDAS!$B185)</f>
        <v/>
      </c>
      <c r="C207" s="21" t="str">
        <f>IF(PRENDAS!$B185="","",PRENDAS!$D185)</f>
        <v/>
      </c>
      <c r="D207" s="30" t="str">
        <f>IF(PRENDAS!$B185="","",PRENDAS!$E185)</f>
        <v/>
      </c>
      <c r="E207" s="30" t="str">
        <f>IF(PRENDAS!$B185="","",PRENDAS!$F185)</f>
        <v/>
      </c>
      <c r="F207" s="21" t="str">
        <f>IF(PRENDAS!$B185="","",PRENDAS!$G185)</f>
        <v/>
      </c>
      <c r="G207" s="21" t="str">
        <f>IF(PRENDAS!$B185="","",PRENDAS!$H185)</f>
        <v/>
      </c>
      <c r="H207" s="21" t="str">
        <f>IF(PRENDAS!$B185="","",PRENDAS!$I185)</f>
        <v/>
      </c>
      <c r="I207" s="21" t="str">
        <f>IF(PRENDAS!$B185="","",PRENDAS!$J185)</f>
        <v/>
      </c>
      <c r="J207" s="21" t="str">
        <f>IF(PRENDAS!$B185="","",PRENDAS!$P185)</f>
        <v/>
      </c>
    </row>
    <row r="208" ht="15.0" customHeight="1">
      <c r="A208" s="30" t="str">
        <f>IF(PRENDAS!$B186="","",PRENDAS!$A186)</f>
        <v/>
      </c>
      <c r="B208" s="21" t="str">
        <f>IF(PRENDAS!$B186="","",PRENDAS!$B186)</f>
        <v/>
      </c>
      <c r="C208" s="21" t="str">
        <f>IF(PRENDAS!$B186="","",PRENDAS!$D186)</f>
        <v/>
      </c>
      <c r="D208" s="30" t="str">
        <f>IF(PRENDAS!$B186="","",PRENDAS!$E186)</f>
        <v/>
      </c>
      <c r="E208" s="30" t="str">
        <f>IF(PRENDAS!$B186="","",PRENDAS!$F186)</f>
        <v/>
      </c>
      <c r="F208" s="21" t="str">
        <f>IF(PRENDAS!$B186="","",PRENDAS!$G186)</f>
        <v/>
      </c>
      <c r="G208" s="21" t="str">
        <f>IF(PRENDAS!$B186="","",PRENDAS!$H186)</f>
        <v/>
      </c>
      <c r="H208" s="21" t="str">
        <f>IF(PRENDAS!$B186="","",PRENDAS!$I186)</f>
        <v/>
      </c>
      <c r="I208" s="21" t="str">
        <f>IF(PRENDAS!$B186="","",PRENDAS!$J186)</f>
        <v/>
      </c>
      <c r="J208" s="21" t="str">
        <f>IF(PRENDAS!$B186="","",PRENDAS!$P186)</f>
        <v/>
      </c>
    </row>
    <row r="209" ht="15.0" customHeight="1">
      <c r="A209" s="30" t="str">
        <f>IF(PRENDAS!$B187="","",PRENDAS!$A187)</f>
        <v/>
      </c>
      <c r="B209" s="21" t="str">
        <f>IF(PRENDAS!$B187="","",PRENDAS!$B187)</f>
        <v/>
      </c>
      <c r="C209" s="21" t="str">
        <f>IF(PRENDAS!$B187="","",PRENDAS!$D187)</f>
        <v/>
      </c>
      <c r="D209" s="30" t="str">
        <f>IF(PRENDAS!$B187="","",PRENDAS!$E187)</f>
        <v/>
      </c>
      <c r="E209" s="30" t="str">
        <f>IF(PRENDAS!$B187="","",PRENDAS!$F187)</f>
        <v/>
      </c>
      <c r="F209" s="21" t="str">
        <f>IF(PRENDAS!$B187="","",PRENDAS!$G187)</f>
        <v/>
      </c>
      <c r="G209" s="21" t="str">
        <f>IF(PRENDAS!$B187="","",PRENDAS!$H187)</f>
        <v/>
      </c>
      <c r="H209" s="21" t="str">
        <f>IF(PRENDAS!$B187="","",PRENDAS!$I187)</f>
        <v/>
      </c>
      <c r="I209" s="21" t="str">
        <f>IF(PRENDAS!$B187="","",PRENDAS!$J187)</f>
        <v/>
      </c>
      <c r="J209" s="21" t="str">
        <f>IF(PRENDAS!$B187="","",PRENDAS!$P187)</f>
        <v/>
      </c>
    </row>
    <row r="210" ht="15.0" customHeight="1">
      <c r="A210" s="30" t="str">
        <f>IF(PRENDAS!$B188="","",PRENDAS!$A188)</f>
        <v/>
      </c>
      <c r="B210" s="21" t="str">
        <f>IF(PRENDAS!$B188="","",PRENDAS!$B188)</f>
        <v/>
      </c>
      <c r="C210" s="21" t="str">
        <f>IF(PRENDAS!$B188="","",PRENDAS!$D188)</f>
        <v/>
      </c>
      <c r="D210" s="30" t="str">
        <f>IF(PRENDAS!$B188="","",PRENDAS!$E188)</f>
        <v/>
      </c>
      <c r="E210" s="30" t="str">
        <f>IF(PRENDAS!$B188="","",PRENDAS!$F188)</f>
        <v/>
      </c>
      <c r="F210" s="21" t="str">
        <f>IF(PRENDAS!$B188="","",PRENDAS!$G188)</f>
        <v/>
      </c>
      <c r="G210" s="21" t="str">
        <f>IF(PRENDAS!$B188="","",PRENDAS!$H188)</f>
        <v/>
      </c>
      <c r="H210" s="21" t="str">
        <f>IF(PRENDAS!$B188="","",PRENDAS!$I188)</f>
        <v/>
      </c>
      <c r="I210" s="21" t="str">
        <f>IF(PRENDAS!$B188="","",PRENDAS!$J188)</f>
        <v/>
      </c>
      <c r="J210" s="21" t="str">
        <f>IF(PRENDAS!$B188="","",PRENDAS!$P188)</f>
        <v/>
      </c>
    </row>
    <row r="211" ht="15.0" customHeight="1">
      <c r="A211" s="30" t="str">
        <f>IF(PRENDAS!$B189="","",PRENDAS!$A189)</f>
        <v/>
      </c>
      <c r="B211" s="21" t="str">
        <f>IF(PRENDAS!$B189="","",PRENDAS!$B189)</f>
        <v/>
      </c>
      <c r="C211" s="21" t="str">
        <f>IF(PRENDAS!$B189="","",PRENDAS!$D189)</f>
        <v/>
      </c>
      <c r="D211" s="30" t="str">
        <f>IF(PRENDAS!$B189="","",PRENDAS!$E189)</f>
        <v/>
      </c>
      <c r="E211" s="30" t="str">
        <f>IF(PRENDAS!$B189="","",PRENDAS!$F189)</f>
        <v/>
      </c>
      <c r="F211" s="21" t="str">
        <f>IF(PRENDAS!$B189="","",PRENDAS!$G189)</f>
        <v/>
      </c>
      <c r="G211" s="21" t="str">
        <f>IF(PRENDAS!$B189="","",PRENDAS!$H189)</f>
        <v/>
      </c>
      <c r="H211" s="21" t="str">
        <f>IF(PRENDAS!$B189="","",PRENDAS!$I189)</f>
        <v/>
      </c>
      <c r="I211" s="21" t="str">
        <f>IF(PRENDAS!$B189="","",PRENDAS!$J189)</f>
        <v/>
      </c>
      <c r="J211" s="21" t="str">
        <f>IF(PRENDAS!$B189="","",PRENDAS!$P189)</f>
        <v/>
      </c>
    </row>
    <row r="212" ht="15.0" customHeight="1">
      <c r="A212" s="30" t="str">
        <f>IF(PRENDAS!$B190="","",PRENDAS!$A190)</f>
        <v/>
      </c>
      <c r="B212" s="21" t="str">
        <f>IF(PRENDAS!$B190="","",PRENDAS!$B190)</f>
        <v/>
      </c>
      <c r="C212" s="21" t="str">
        <f>IF(PRENDAS!$B190="","",PRENDAS!$D190)</f>
        <v/>
      </c>
      <c r="D212" s="30" t="str">
        <f>IF(PRENDAS!$B190="","",PRENDAS!$E190)</f>
        <v/>
      </c>
      <c r="E212" s="30" t="str">
        <f>IF(PRENDAS!$B190="","",PRENDAS!$F190)</f>
        <v/>
      </c>
      <c r="F212" s="21" t="str">
        <f>IF(PRENDAS!$B190="","",PRENDAS!$G190)</f>
        <v/>
      </c>
      <c r="G212" s="21" t="str">
        <f>IF(PRENDAS!$B190="","",PRENDAS!$H190)</f>
        <v/>
      </c>
      <c r="H212" s="21" t="str">
        <f>IF(PRENDAS!$B190="","",PRENDAS!$I190)</f>
        <v/>
      </c>
      <c r="I212" s="21" t="str">
        <f>IF(PRENDAS!$B190="","",PRENDAS!$J190)</f>
        <v/>
      </c>
      <c r="J212" s="21" t="str">
        <f>IF(PRENDAS!$B190="","",PRENDAS!$P190)</f>
        <v/>
      </c>
    </row>
    <row r="213" ht="15.0" customHeight="1">
      <c r="A213" s="30" t="str">
        <f>IF(PRENDAS!$B191="","",PRENDAS!$A191)</f>
        <v/>
      </c>
      <c r="B213" s="21" t="str">
        <f>IF(PRENDAS!$B191="","",PRENDAS!$B191)</f>
        <v/>
      </c>
      <c r="C213" s="21" t="str">
        <f>IF(PRENDAS!$B191="","",PRENDAS!$D191)</f>
        <v/>
      </c>
      <c r="D213" s="30" t="str">
        <f>IF(PRENDAS!$B191="","",PRENDAS!$E191)</f>
        <v/>
      </c>
      <c r="E213" s="30" t="str">
        <f>IF(PRENDAS!$B191="","",PRENDAS!$F191)</f>
        <v/>
      </c>
      <c r="F213" s="21" t="str">
        <f>IF(PRENDAS!$B191="","",PRENDAS!$G191)</f>
        <v/>
      </c>
      <c r="G213" s="21" t="str">
        <f>IF(PRENDAS!$B191="","",PRENDAS!$H191)</f>
        <v/>
      </c>
      <c r="H213" s="21" t="str">
        <f>IF(PRENDAS!$B191="","",PRENDAS!$I191)</f>
        <v/>
      </c>
      <c r="I213" s="21" t="str">
        <f>IF(PRENDAS!$B191="","",PRENDAS!$J191)</f>
        <v/>
      </c>
      <c r="J213" s="21" t="str">
        <f>IF(PRENDAS!$B191="","",PRENDAS!$P191)</f>
        <v/>
      </c>
    </row>
    <row r="214" ht="15.0" customHeight="1">
      <c r="A214" s="30" t="str">
        <f>IF(PRENDAS!$B192="","",PRENDAS!$A192)</f>
        <v/>
      </c>
      <c r="B214" s="21" t="str">
        <f>IF(PRENDAS!$B192="","",PRENDAS!$B192)</f>
        <v/>
      </c>
      <c r="C214" s="21" t="str">
        <f>IF(PRENDAS!$B192="","",PRENDAS!$D192)</f>
        <v/>
      </c>
      <c r="D214" s="30" t="str">
        <f>IF(PRENDAS!$B192="","",PRENDAS!$E192)</f>
        <v/>
      </c>
      <c r="E214" s="30" t="str">
        <f>IF(PRENDAS!$B192="","",PRENDAS!$F192)</f>
        <v/>
      </c>
      <c r="F214" s="21" t="str">
        <f>IF(PRENDAS!$B192="","",PRENDAS!$G192)</f>
        <v/>
      </c>
      <c r="G214" s="21" t="str">
        <f>IF(PRENDAS!$B192="","",PRENDAS!$H192)</f>
        <v/>
      </c>
      <c r="H214" s="21" t="str">
        <f>IF(PRENDAS!$B192="","",PRENDAS!$I192)</f>
        <v/>
      </c>
      <c r="I214" s="21" t="str">
        <f>IF(PRENDAS!$B192="","",PRENDAS!$J192)</f>
        <v/>
      </c>
      <c r="J214" s="21" t="str">
        <f>IF(PRENDAS!$B192="","",PRENDAS!$P192)</f>
        <v/>
      </c>
    </row>
    <row r="215" ht="15.0" customHeight="1">
      <c r="A215" s="30" t="str">
        <f>IF(PRENDAS!$B193="","",PRENDAS!$A193)</f>
        <v/>
      </c>
      <c r="B215" s="21" t="str">
        <f>IF(PRENDAS!$B193="","",PRENDAS!$B193)</f>
        <v/>
      </c>
      <c r="C215" s="21" t="str">
        <f>IF(PRENDAS!$B193="","",PRENDAS!$D193)</f>
        <v/>
      </c>
      <c r="D215" s="30" t="str">
        <f>IF(PRENDAS!$B193="","",PRENDAS!$E193)</f>
        <v/>
      </c>
      <c r="E215" s="30" t="str">
        <f>IF(PRENDAS!$B193="","",PRENDAS!$F193)</f>
        <v/>
      </c>
      <c r="F215" s="21" t="str">
        <f>IF(PRENDAS!$B193="","",PRENDAS!$G193)</f>
        <v/>
      </c>
      <c r="G215" s="21" t="str">
        <f>IF(PRENDAS!$B193="","",PRENDAS!$H193)</f>
        <v/>
      </c>
      <c r="H215" s="21" t="str">
        <f>IF(PRENDAS!$B193="","",PRENDAS!$I193)</f>
        <v/>
      </c>
      <c r="I215" s="21" t="str">
        <f>IF(PRENDAS!$B193="","",PRENDAS!$J193)</f>
        <v/>
      </c>
      <c r="J215" s="21" t="str">
        <f>IF(PRENDAS!$B193="","",PRENDAS!$P193)</f>
        <v/>
      </c>
    </row>
    <row r="216" ht="15.0" customHeight="1">
      <c r="A216" s="30" t="str">
        <f>IF(PRENDAS!$B194="","",PRENDAS!$A194)</f>
        <v/>
      </c>
      <c r="B216" s="21" t="str">
        <f>IF(PRENDAS!$B194="","",PRENDAS!$B194)</f>
        <v/>
      </c>
      <c r="C216" s="21" t="str">
        <f>IF(PRENDAS!$B194="","",PRENDAS!$D194)</f>
        <v/>
      </c>
      <c r="D216" s="30" t="str">
        <f>IF(PRENDAS!$B194="","",PRENDAS!$E194)</f>
        <v/>
      </c>
      <c r="E216" s="30" t="str">
        <f>IF(PRENDAS!$B194="","",PRENDAS!$F194)</f>
        <v/>
      </c>
      <c r="F216" s="21" t="str">
        <f>IF(PRENDAS!$B194="","",PRENDAS!$G194)</f>
        <v/>
      </c>
      <c r="G216" s="21" t="str">
        <f>IF(PRENDAS!$B194="","",PRENDAS!$H194)</f>
        <v/>
      </c>
      <c r="H216" s="21" t="str">
        <f>IF(PRENDAS!$B194="","",PRENDAS!$I194)</f>
        <v/>
      </c>
      <c r="I216" s="21" t="str">
        <f>IF(PRENDAS!$B194="","",PRENDAS!$J194)</f>
        <v/>
      </c>
      <c r="J216" s="21" t="str">
        <f>IF(PRENDAS!$B194="","",PRENDAS!$P194)</f>
        <v/>
      </c>
    </row>
    <row r="217" ht="15.0" customHeight="1">
      <c r="A217" s="30" t="str">
        <f>IF(PRENDAS!$B195="","",PRENDAS!$A195)</f>
        <v/>
      </c>
      <c r="B217" s="21" t="str">
        <f>IF(PRENDAS!$B195="","",PRENDAS!$B195)</f>
        <v/>
      </c>
      <c r="C217" s="21" t="str">
        <f>IF(PRENDAS!$B195="","",PRENDAS!$D195)</f>
        <v/>
      </c>
      <c r="D217" s="30" t="str">
        <f>IF(PRENDAS!$B195="","",PRENDAS!$E195)</f>
        <v/>
      </c>
      <c r="E217" s="30" t="str">
        <f>IF(PRENDAS!$B195="","",PRENDAS!$F195)</f>
        <v/>
      </c>
      <c r="F217" s="21" t="str">
        <f>IF(PRENDAS!$B195="","",PRENDAS!$G195)</f>
        <v/>
      </c>
      <c r="G217" s="21" t="str">
        <f>IF(PRENDAS!$B195="","",PRENDAS!$H195)</f>
        <v/>
      </c>
      <c r="H217" s="21" t="str">
        <f>IF(PRENDAS!$B195="","",PRENDAS!$I195)</f>
        <v/>
      </c>
      <c r="I217" s="21" t="str">
        <f>IF(PRENDAS!$B195="","",PRENDAS!$J195)</f>
        <v/>
      </c>
      <c r="J217" s="21" t="str">
        <f>IF(PRENDAS!$B195="","",PRENDAS!$P195)</f>
        <v/>
      </c>
    </row>
    <row r="218" ht="15.0" customHeight="1">
      <c r="A218" s="30" t="str">
        <f>IF(PRENDAS!$B196="","",PRENDAS!$A196)</f>
        <v/>
      </c>
      <c r="B218" s="21" t="str">
        <f>IF(PRENDAS!$B196="","",PRENDAS!$B196)</f>
        <v/>
      </c>
      <c r="C218" s="21" t="str">
        <f>IF(PRENDAS!$B196="","",PRENDAS!$D196)</f>
        <v/>
      </c>
      <c r="D218" s="30" t="str">
        <f>IF(PRENDAS!$B196="","",PRENDAS!$E196)</f>
        <v/>
      </c>
      <c r="E218" s="30" t="str">
        <f>IF(PRENDAS!$B196="","",PRENDAS!$F196)</f>
        <v/>
      </c>
      <c r="F218" s="21" t="str">
        <f>IF(PRENDAS!$B196="","",PRENDAS!$G196)</f>
        <v/>
      </c>
      <c r="G218" s="21" t="str">
        <f>IF(PRENDAS!$B196="","",PRENDAS!$H196)</f>
        <v/>
      </c>
      <c r="H218" s="21" t="str">
        <f>IF(PRENDAS!$B196="","",PRENDAS!$I196)</f>
        <v/>
      </c>
      <c r="I218" s="21" t="str">
        <f>IF(PRENDAS!$B196="","",PRENDAS!$J196)</f>
        <v/>
      </c>
      <c r="J218" s="21" t="str">
        <f>IF(PRENDAS!$B196="","",PRENDAS!$P196)</f>
        <v/>
      </c>
    </row>
    <row r="219" ht="15.0" customHeight="1">
      <c r="A219" s="30" t="str">
        <f>IF(PRENDAS!$B197="","",PRENDAS!$A197)</f>
        <v/>
      </c>
      <c r="B219" s="21" t="str">
        <f>IF(PRENDAS!$B197="","",PRENDAS!$B197)</f>
        <v/>
      </c>
      <c r="C219" s="21" t="str">
        <f>IF(PRENDAS!$B197="","",PRENDAS!$D197)</f>
        <v/>
      </c>
      <c r="D219" s="30" t="str">
        <f>IF(PRENDAS!$B197="","",PRENDAS!$E197)</f>
        <v/>
      </c>
      <c r="E219" s="30" t="str">
        <f>IF(PRENDAS!$B197="","",PRENDAS!$F197)</f>
        <v/>
      </c>
      <c r="F219" s="21" t="str">
        <f>IF(PRENDAS!$B197="","",PRENDAS!$G197)</f>
        <v/>
      </c>
      <c r="G219" s="21" t="str">
        <f>IF(PRENDAS!$B197="","",PRENDAS!$H197)</f>
        <v/>
      </c>
      <c r="H219" s="21" t="str">
        <f>IF(PRENDAS!$B197="","",PRENDAS!$I197)</f>
        <v/>
      </c>
      <c r="I219" s="21" t="str">
        <f>IF(PRENDAS!$B197="","",PRENDAS!$J197)</f>
        <v/>
      </c>
      <c r="J219" s="21" t="str">
        <f>IF(PRENDAS!$B197="","",PRENDAS!$P197)</f>
        <v/>
      </c>
    </row>
    <row r="220" ht="15.0" customHeight="1">
      <c r="A220" s="30" t="str">
        <f>IF(PRENDAS!$B198="","",PRENDAS!$A198)</f>
        <v/>
      </c>
      <c r="B220" s="21" t="str">
        <f>IF(PRENDAS!$B198="","",PRENDAS!$B198)</f>
        <v/>
      </c>
      <c r="C220" s="21" t="str">
        <f>IF(PRENDAS!$B198="","",PRENDAS!$D198)</f>
        <v/>
      </c>
      <c r="D220" s="30" t="str">
        <f>IF(PRENDAS!$B198="","",PRENDAS!$E198)</f>
        <v/>
      </c>
      <c r="E220" s="30" t="str">
        <f>IF(PRENDAS!$B198="","",PRENDAS!$F198)</f>
        <v/>
      </c>
      <c r="F220" s="21" t="str">
        <f>IF(PRENDAS!$B198="","",PRENDAS!$G198)</f>
        <v/>
      </c>
      <c r="G220" s="21" t="str">
        <f>IF(PRENDAS!$B198="","",PRENDAS!$H198)</f>
        <v/>
      </c>
      <c r="H220" s="21" t="str">
        <f>IF(PRENDAS!$B198="","",PRENDAS!$I198)</f>
        <v/>
      </c>
      <c r="I220" s="21" t="str">
        <f>IF(PRENDAS!$B198="","",PRENDAS!$J198)</f>
        <v/>
      </c>
      <c r="J220" s="21" t="str">
        <f>IF(PRENDAS!$B198="","",PRENDAS!$P198)</f>
        <v/>
      </c>
    </row>
    <row r="221" ht="15.0" customHeight="1">
      <c r="A221" s="30" t="str">
        <f>IF(PRENDAS!$B199="","",PRENDAS!$A199)</f>
        <v/>
      </c>
      <c r="B221" s="21" t="str">
        <f>IF(PRENDAS!$B199="","",PRENDAS!$B199)</f>
        <v/>
      </c>
      <c r="C221" s="21" t="str">
        <f>IF(PRENDAS!$B199="","",PRENDAS!$D199)</f>
        <v/>
      </c>
      <c r="D221" s="30" t="str">
        <f>IF(PRENDAS!$B199="","",PRENDAS!$E199)</f>
        <v/>
      </c>
      <c r="E221" s="30" t="str">
        <f>IF(PRENDAS!$B199="","",PRENDAS!$F199)</f>
        <v/>
      </c>
      <c r="F221" s="21" t="str">
        <f>IF(PRENDAS!$B199="","",PRENDAS!$G199)</f>
        <v/>
      </c>
      <c r="G221" s="21" t="str">
        <f>IF(PRENDAS!$B199="","",PRENDAS!$H199)</f>
        <v/>
      </c>
      <c r="H221" s="21" t="str">
        <f>IF(PRENDAS!$B199="","",PRENDAS!$I199)</f>
        <v/>
      </c>
      <c r="I221" s="21" t="str">
        <f>IF(PRENDAS!$B199="","",PRENDAS!$J199)</f>
        <v/>
      </c>
      <c r="J221" s="21" t="str">
        <f>IF(PRENDAS!$B199="","",PRENDAS!$P199)</f>
        <v/>
      </c>
    </row>
    <row r="222" ht="15.0" customHeight="1">
      <c r="A222" s="30" t="str">
        <f>IF(PRENDAS!$B200="","",PRENDAS!$A200)</f>
        <v/>
      </c>
      <c r="B222" s="21" t="str">
        <f>IF(PRENDAS!$B200="","",PRENDAS!$B200)</f>
        <v/>
      </c>
      <c r="C222" s="21" t="str">
        <f>IF(PRENDAS!$B200="","",PRENDAS!$D200)</f>
        <v/>
      </c>
      <c r="D222" s="30" t="str">
        <f>IF(PRENDAS!$B200="","",PRENDAS!$E200)</f>
        <v/>
      </c>
      <c r="E222" s="30" t="str">
        <f>IF(PRENDAS!$B200="","",PRENDAS!$F200)</f>
        <v/>
      </c>
      <c r="F222" s="21" t="str">
        <f>IF(PRENDAS!$B200="","",PRENDAS!$G200)</f>
        <v/>
      </c>
      <c r="G222" s="21" t="str">
        <f>IF(PRENDAS!$B200="","",PRENDAS!$H200)</f>
        <v/>
      </c>
      <c r="H222" s="21" t="str">
        <f>IF(PRENDAS!$B200="","",PRENDAS!$I200)</f>
        <v/>
      </c>
      <c r="I222" s="21" t="str">
        <f>IF(PRENDAS!$B200="","",PRENDAS!$J200)</f>
        <v/>
      </c>
      <c r="J222" s="21" t="str">
        <f>IF(PRENDAS!$B200="","",PRENDAS!$P200)</f>
        <v/>
      </c>
    </row>
    <row r="223" ht="15.0" customHeight="1">
      <c r="A223" s="30" t="str">
        <f>IF(PRENDAS!$B201="","",PRENDAS!$A201)</f>
        <v/>
      </c>
      <c r="B223" s="21" t="str">
        <f>IF(PRENDAS!$B201="","",PRENDAS!$B201)</f>
        <v/>
      </c>
      <c r="C223" s="21" t="str">
        <f>IF(PRENDAS!$B201="","",PRENDAS!$D201)</f>
        <v/>
      </c>
      <c r="D223" s="30" t="str">
        <f>IF(PRENDAS!$B201="","",PRENDAS!$E201)</f>
        <v/>
      </c>
      <c r="E223" s="30" t="str">
        <f>IF(PRENDAS!$B201="","",PRENDAS!$F201)</f>
        <v/>
      </c>
      <c r="F223" s="21" t="str">
        <f>IF(PRENDAS!$B201="","",PRENDAS!$G201)</f>
        <v/>
      </c>
      <c r="G223" s="21" t="str">
        <f>IF(PRENDAS!$B201="","",PRENDAS!$H201)</f>
        <v/>
      </c>
      <c r="H223" s="21" t="str">
        <f>IF(PRENDAS!$B201="","",PRENDAS!$I201)</f>
        <v/>
      </c>
      <c r="I223" s="21" t="str">
        <f>IF(PRENDAS!$B201="","",PRENDAS!$J201)</f>
        <v/>
      </c>
      <c r="J223" s="21" t="str">
        <f>IF(PRENDAS!$B201="","",PRENDAS!$P201)</f>
        <v/>
      </c>
    </row>
    <row r="224" ht="15.0" customHeight="1">
      <c r="A224" s="30" t="str">
        <f>IF(PRENDAS!$B202="","",PRENDAS!$A202)</f>
        <v/>
      </c>
      <c r="B224" s="21" t="str">
        <f>IF(PRENDAS!$B202="","",PRENDAS!$B202)</f>
        <v/>
      </c>
      <c r="C224" s="21" t="str">
        <f>IF(PRENDAS!$B202="","",PRENDAS!$D202)</f>
        <v/>
      </c>
      <c r="D224" s="30" t="str">
        <f>IF(PRENDAS!$B202="","",PRENDAS!$E202)</f>
        <v/>
      </c>
      <c r="E224" s="30" t="str">
        <f>IF(PRENDAS!$B202="","",PRENDAS!$F202)</f>
        <v/>
      </c>
      <c r="F224" s="21" t="str">
        <f>IF(PRENDAS!$B202="","",PRENDAS!$G202)</f>
        <v/>
      </c>
      <c r="G224" s="21" t="str">
        <f>IF(PRENDAS!$B202="","",PRENDAS!$H202)</f>
        <v/>
      </c>
      <c r="H224" s="21" t="str">
        <f>IF(PRENDAS!$B202="","",PRENDAS!$I202)</f>
        <v/>
      </c>
      <c r="I224" s="21" t="str">
        <f>IF(PRENDAS!$B202="","",PRENDAS!$J202)</f>
        <v/>
      </c>
      <c r="J224" s="21" t="str">
        <f>IF(PRENDAS!$B202="","",PRENDAS!$P202)</f>
        <v/>
      </c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</row>
  </sheetData>
  <mergeCells count="3">
    <mergeCell ref="A1:J1"/>
    <mergeCell ref="A4:J4"/>
    <mergeCell ref="A23:J23"/>
  </mergeCells>
  <printOptions/>
  <pageMargins bottom="1.0" footer="0.0" header="0.0" left="0.75" right="0.75" top="1.0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37.0" topLeftCell="A38" activePane="bottomLeft" state="frozen"/>
      <selection activeCell="B39" sqref="B39" pane="bottomLeft"/>
    </sheetView>
  </sheetViews>
  <sheetFormatPr customHeight="1" defaultColWidth="14.43" defaultRowHeight="15.0"/>
  <cols>
    <col customWidth="1" min="1" max="1" width="5.0"/>
    <col customWidth="1" min="2" max="2" width="24.0"/>
    <col customWidth="1" min="3" max="3" width="18.0"/>
    <col customWidth="1" min="4" max="5" width="8.0"/>
    <col customWidth="1" min="6" max="6" width="16.0"/>
    <col customWidth="1" min="7" max="7" width="14.0"/>
    <col customWidth="1" min="8" max="8" width="12.0"/>
    <col customWidth="1" min="9" max="9" width="16.0"/>
    <col customWidth="1" min="10" max="10" width="36.0"/>
    <col customWidth="1" min="11" max="26" width="8.71"/>
  </cols>
  <sheetData>
    <row r="1" ht="25.5" customHeight="1">
      <c r="A1" s="1" t="s">
        <v>372</v>
      </c>
      <c r="B1" s="2"/>
      <c r="C1" s="2"/>
      <c r="D1" s="2"/>
      <c r="E1" s="2"/>
      <c r="F1" s="2"/>
      <c r="G1" s="2"/>
      <c r="H1" s="2"/>
      <c r="I1" s="2"/>
      <c r="J1" s="3"/>
    </row>
    <row r="2" ht="15.0" customHeight="1">
      <c r="A2" s="6" t="str">
        <f>CONCATENATE("Pedido ",PEDIDO!$B$5,"  ·  ",PEDIDO!$B$7,"  ·  versión ",PEDIDO!$B$6,"  ·  entrega ",PEDIDO!$F$9)</f>
        <v>Pedido SUB-000842  ·  PROMO 2002  ·  versión 4  ·  entrega 2026-08-18</v>
      </c>
      <c r="B2" s="4"/>
      <c r="C2" s="4"/>
      <c r="D2" s="4"/>
      <c r="E2" s="4"/>
      <c r="F2" s="4"/>
      <c r="G2" s="4"/>
      <c r="H2" s="4"/>
      <c r="I2" s="4"/>
      <c r="J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</row>
    <row r="4" ht="19.5" customHeight="1">
      <c r="A4" s="9" t="s">
        <v>373</v>
      </c>
      <c r="B4" s="2"/>
      <c r="C4" s="2"/>
      <c r="D4" s="2"/>
      <c r="E4" s="2"/>
      <c r="F4" s="2"/>
      <c r="G4" s="2"/>
      <c r="H4" s="2"/>
      <c r="I4" s="2"/>
      <c r="J4" s="3"/>
    </row>
    <row r="5" ht="15.0" customHeight="1">
      <c r="A5" s="6" t="s">
        <v>157</v>
      </c>
      <c r="B5" s="4"/>
      <c r="C5" s="39" t="str">
        <f>IF(PEDIDO!$B$15="","—",PEDIDO!$B$15)</f>
        <v>Win Fresh</v>
      </c>
      <c r="D5" s="4"/>
      <c r="E5" s="4"/>
      <c r="F5" s="6" t="s">
        <v>164</v>
      </c>
      <c r="G5" s="4"/>
      <c r="H5" s="39" t="str">
        <f>IF(PEDIDO!$F$15="","—",PEDIDO!$F$15)</f>
        <v>Corta</v>
      </c>
      <c r="I5" s="4"/>
      <c r="J5" s="4"/>
    </row>
    <row r="6" ht="15.0" customHeight="1">
      <c r="A6" s="6" t="s">
        <v>374</v>
      </c>
      <c r="B6" s="4"/>
      <c r="C6" s="39" t="str">
        <f>IF(PEDIDO!$B$16="","—",PEDIDO!$B$16)</f>
        <v>Redondo</v>
      </c>
      <c r="D6" s="4"/>
      <c r="E6" s="4"/>
      <c r="F6" s="6" t="s">
        <v>375</v>
      </c>
      <c r="G6" s="4"/>
      <c r="H6" s="39" t="str">
        <f>IF(PEDIDO!$F$16="","—",PEDIDO!$F$16)</f>
        <v>Redondo</v>
      </c>
      <c r="I6" s="4"/>
      <c r="J6" s="4"/>
    </row>
    <row r="7" ht="15.0" customHeight="1">
      <c r="A7" s="6" t="s">
        <v>376</v>
      </c>
      <c r="B7" s="4"/>
      <c r="C7" s="39" t="str">
        <f>IF(PEDIDO!$B$17="","—",PEDIDO!$B$17)</f>
        <v>Recto</v>
      </c>
      <c r="D7" s="4"/>
      <c r="E7" s="4"/>
      <c r="F7" s="6" t="s">
        <v>377</v>
      </c>
      <c r="G7" s="4"/>
      <c r="H7" s="39" t="str">
        <f>IF(PEDIDO!$F$17="","—",PEDIDO!$F$17)</f>
        <v>Entallado</v>
      </c>
      <c r="I7" s="4"/>
      <c r="J7" s="4"/>
    </row>
    <row r="8" ht="15.0" customHeight="1">
      <c r="A8" s="6" t="s">
        <v>190</v>
      </c>
      <c r="B8" s="4"/>
      <c r="C8" s="39" t="str">
        <f>IF(PEDIDO!$B$18="","—",PEDIDO!$B$18)</f>
        <v>Sí</v>
      </c>
      <c r="D8" s="4"/>
      <c r="E8" s="4"/>
      <c r="F8" s="6" t="s">
        <v>195</v>
      </c>
      <c r="G8" s="4"/>
      <c r="H8" s="39" t="str">
        <f>IF(PEDIDO!$F$18="","—",PEDIDO!$F$18)</f>
        <v>No</v>
      </c>
      <c r="I8" s="4"/>
      <c r="J8" s="4"/>
    </row>
    <row r="9" ht="15.0" customHeight="1">
      <c r="A9" s="6" t="s">
        <v>198</v>
      </c>
      <c r="B9" s="4"/>
      <c r="C9" s="39" t="str">
        <f>IF(PEDIDO!$B$19="","—",PEDIDO!$B$19)</f>
        <v>Sublimado</v>
      </c>
      <c r="D9" s="4"/>
      <c r="E9" s="4"/>
      <c r="F9" s="6" t="s">
        <v>378</v>
      </c>
      <c r="G9" s="4"/>
      <c r="H9" s="39" t="str">
        <f>IF(PEDIDO!$F$19="","—",PEDIDO!$F$19)</f>
        <v>Win Fresh</v>
      </c>
      <c r="I9" s="4"/>
      <c r="J9" s="4"/>
    </row>
    <row r="10" ht="15.0" customHeight="1">
      <c r="A10" s="6" t="s">
        <v>142</v>
      </c>
      <c r="B10" s="4"/>
      <c r="C10" s="39" t="str">
        <f>IF(PEDIDO!$B$13="","—",PEDIDO!$B$13)</f>
        <v>v4</v>
      </c>
      <c r="D10" s="4"/>
      <c r="E10" s="4"/>
      <c r="F10" s="6" t="s">
        <v>304</v>
      </c>
      <c r="G10" s="4"/>
      <c r="H10" s="39" t="str">
        <f>IF(PEDIDO!$F$13="","—",PEDIDO!$F$13)</f>
        <v>2026-08-07</v>
      </c>
      <c r="I10" s="4"/>
      <c r="J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</row>
    <row r="12" ht="19.5" customHeight="1">
      <c r="A12" s="9" t="s">
        <v>379</v>
      </c>
      <c r="B12" s="2"/>
      <c r="C12" s="2"/>
      <c r="D12" s="2"/>
      <c r="E12" s="2"/>
      <c r="F12" s="2"/>
      <c r="G12" s="2"/>
      <c r="H12" s="2"/>
      <c r="I12" s="2"/>
      <c r="J12" s="3"/>
    </row>
    <row r="13" ht="15.0" customHeight="1">
      <c r="A13" s="39" t="str">
        <f>IF(PEDIDO!$A$23="","",PEDIDO!$A$23)</f>
        <v>Blanco hueso</v>
      </c>
      <c r="B13" s="4"/>
      <c r="C13" s="34" t="str">
        <f>IF(PEDIDO!$B$23="","",PEDIDO!$B$23)</f>
        <v>#F7F4F2</v>
      </c>
      <c r="D13" s="4"/>
      <c r="E13" s="4"/>
      <c r="F13" s="39" t="str">
        <f>IF(PEDIDO!$C$23="","",PEDIDO!$C$23)</f>
        <v>PENDIENTE — el pedido real nunca tuvo código</v>
      </c>
      <c r="G13" s="4"/>
      <c r="H13" s="4"/>
      <c r="I13" s="4"/>
      <c r="J13" s="4"/>
    </row>
    <row r="14" ht="15.0" customHeight="1">
      <c r="A14" s="39" t="str">
        <f>IF(PEDIDO!$A$24="","",PEDIDO!$A$24)</f>
        <v>Azul</v>
      </c>
      <c r="B14" s="4"/>
      <c r="C14" s="34" t="str">
        <f>IF(PEDIDO!$B$24="","",PEDIDO!$B$24)</f>
        <v>#2B4E7A</v>
      </c>
      <c r="D14" s="4"/>
      <c r="E14" s="4"/>
      <c r="F14" s="39" t="str">
        <f>IF(PEDIDO!$C$24="","",PEDIDO!$C$24)</f>
        <v>PENDIENTE — el pedido real nunca tuvo código</v>
      </c>
      <c r="G14" s="4"/>
      <c r="H14" s="4"/>
      <c r="I14" s="4"/>
      <c r="J14" s="4"/>
    </row>
    <row r="15" ht="15.0" customHeight="1">
      <c r="A15" s="39" t="str">
        <f>IF(PEDIDO!$A$25="","",PEDIDO!$A$25)</f>
        <v/>
      </c>
      <c r="B15" s="4"/>
      <c r="C15" s="34" t="str">
        <f>IF(PEDIDO!$B$25="","",PEDIDO!$B$25)</f>
        <v/>
      </c>
      <c r="D15" s="4"/>
      <c r="E15" s="4"/>
      <c r="F15" s="39" t="str">
        <f>IF(PEDIDO!$C$25="","",PEDIDO!$C$25)</f>
        <v/>
      </c>
      <c r="G15" s="4"/>
      <c r="H15" s="4"/>
      <c r="I15" s="4"/>
      <c r="J15" s="4"/>
    </row>
    <row r="16" ht="15.0" customHeight="1">
      <c r="A16" s="39" t="str">
        <f>IF(PEDIDO!$A$26="","",PEDIDO!$A$26)</f>
        <v/>
      </c>
      <c r="B16" s="4"/>
      <c r="C16" s="34" t="str">
        <f>IF(PEDIDO!$B$26="","",PEDIDO!$B$26)</f>
        <v/>
      </c>
      <c r="D16" s="4"/>
      <c r="E16" s="4"/>
      <c r="F16" s="39" t="str">
        <f>IF(PEDIDO!$C$26="","",PEDIDO!$C$26)</f>
        <v/>
      </c>
      <c r="G16" s="4"/>
      <c r="H16" s="4"/>
      <c r="I16" s="4"/>
      <c r="J16" s="4"/>
    </row>
    <row r="17" ht="15.0" customHeight="1">
      <c r="A17" s="39" t="str">
        <f>IF(PEDIDO!$A$27="","",PEDIDO!$A$27)</f>
        <v/>
      </c>
      <c r="B17" s="4"/>
      <c r="C17" s="34" t="str">
        <f>IF(PEDIDO!$B$27="","",PEDIDO!$B$27)</f>
        <v/>
      </c>
      <c r="D17" s="4"/>
      <c r="E17" s="4"/>
      <c r="F17" s="39" t="str">
        <f>IF(PEDIDO!$C$27="","",PEDIDO!$C$27)</f>
        <v/>
      </c>
      <c r="G17" s="4"/>
      <c r="H17" s="4"/>
      <c r="I17" s="4"/>
      <c r="J17" s="4"/>
    </row>
    <row r="18" ht="15.0" customHeight="1">
      <c r="A18" s="39" t="str">
        <f>IF(PEDIDO!$A$28="","",PEDIDO!$A$28)</f>
        <v/>
      </c>
      <c r="B18" s="4"/>
      <c r="C18" s="34" t="str">
        <f>IF(PEDIDO!$B$28="","",PEDIDO!$B$28)</f>
        <v/>
      </c>
      <c r="D18" s="4"/>
      <c r="E18" s="4"/>
      <c r="F18" s="39" t="str">
        <f>IF(PEDIDO!$C$28="","",PEDIDO!$C$28)</f>
        <v/>
      </c>
      <c r="G18" s="4"/>
      <c r="H18" s="4"/>
      <c r="I18" s="4"/>
      <c r="J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</row>
    <row r="20" ht="19.5" customHeight="1">
      <c r="A20" s="9" t="s">
        <v>380</v>
      </c>
      <c r="B20" s="2"/>
      <c r="C20" s="2"/>
      <c r="D20" s="2"/>
      <c r="E20" s="2"/>
      <c r="F20" s="2"/>
      <c r="G20" s="2"/>
      <c r="H20" s="2"/>
      <c r="I20" s="2"/>
      <c r="J20" s="3"/>
    </row>
    <row r="21" ht="15.0" customHeight="1">
      <c r="A21" s="6" t="str">
        <f>PEDIDO!$A$33</f>
        <v>Pecho / delantero</v>
      </c>
      <c r="B21" s="4"/>
      <c r="C21" s="39" t="str">
        <f>IF(PEDIDO!$B$33="","",PEDIDO!$B$33)</f>
        <v>Sí</v>
      </c>
      <c r="D21" s="39" t="str">
        <f>IF(PEDIDO!$C$33="","",PEDIDO!$C$33)</f>
        <v>Texto "PROMO 2002", insignia del colegio bordada y sponsors correspondientes</v>
      </c>
    </row>
    <row r="22" ht="15.0" customHeight="1">
      <c r="A22" s="6" t="str">
        <f>PEDIDO!$A$34</f>
        <v>Espalda</v>
      </c>
      <c r="B22" s="4"/>
      <c r="C22" s="39" t="str">
        <f>IF(PEDIDO!$B$34="","",PEDIDO!$B$34)</f>
        <v>Sí</v>
      </c>
      <c r="D22" s="39" t="str">
        <f>IF(PEDIDO!$C$34="","",PEDIDO!$C$34)</f>
        <v>Nombre, número y sponsor</v>
      </c>
    </row>
    <row r="23" ht="15.0" customHeight="1">
      <c r="A23" s="6" t="str">
        <f>PEDIDO!$A$35</f>
        <v>Cuello delantero</v>
      </c>
      <c r="B23" s="4"/>
      <c r="C23" s="39" t="str">
        <f>IF(PEDIDO!$B$35="","",PEDIDO!$B$35)</f>
        <v>No</v>
      </c>
      <c r="D23" s="39" t="str">
        <f>IF(PEDIDO!$C$35="","",PEDIDO!$C$35)</f>
        <v/>
      </c>
    </row>
    <row r="24" ht="15.0" customHeight="1">
      <c r="A24" s="6" t="str">
        <f>PEDIDO!$A$36</f>
        <v>Cuello posterior</v>
      </c>
      <c r="B24" s="4"/>
      <c r="C24" s="39" t="str">
        <f>IF(PEDIDO!$B$36="","",PEDIDO!$B$36)</f>
        <v>No</v>
      </c>
      <c r="D24" s="39" t="str">
        <f>IF(PEDIDO!$C$36="","",PEDIDO!$C$36)</f>
        <v/>
      </c>
    </row>
    <row r="25" ht="15.0" customHeight="1">
      <c r="A25" s="6" t="str">
        <f>PEDIDO!$A$37</f>
        <v>Manga izquierda</v>
      </c>
      <c r="B25" s="4"/>
      <c r="C25" s="39" t="str">
        <f>IF(PEDIDO!$B$37="","",PEDIDO!$B$37)</f>
        <v>Sí</v>
      </c>
      <c r="D25" s="39" t="str">
        <f>IF(PEDIDO!$C$37="","",PEDIDO!$C$37)</f>
        <v>Copa y texto "COPA 2026"</v>
      </c>
    </row>
    <row r="26" ht="15.0" customHeight="1">
      <c r="A26" s="6" t="str">
        <f>PEDIDO!$A$38</f>
        <v>Manga derecha</v>
      </c>
      <c r="B26" s="4"/>
      <c r="C26" s="39" t="str">
        <f>IF(PEDIDO!$B$38="","",PEDIDO!$B$38)</f>
        <v>Sí</v>
      </c>
      <c r="D26" s="39" t="str">
        <f>IF(PEDIDO!$C$38="","",PEDIDO!$C$38)</f>
        <v>Insignia del campeonato</v>
      </c>
    </row>
    <row r="27" ht="15.0" customHeight="1">
      <c r="A27" s="6" t="str">
        <f>PEDIDO!$A$39</f>
        <v>Short delantero</v>
      </c>
      <c r="B27" s="4"/>
      <c r="C27" s="39" t="str">
        <f>IF(PEDIDO!$B$39="","",PEDIDO!$B$39)</f>
        <v>Sí</v>
      </c>
      <c r="D27" s="39" t="str">
        <f>IF(PEDIDO!$C$39="","",PEDIDO!$C$39)</f>
        <v>Insignia del colegio lado derecho, número lado izquierdo</v>
      </c>
    </row>
    <row r="28" ht="15.0" customHeight="1">
      <c r="A28" s="6" t="str">
        <f>PEDIDO!$A$40</f>
        <v>Short posterior</v>
      </c>
      <c r="B28" s="4"/>
      <c r="C28" s="39" t="str">
        <f>IF(PEDIDO!$B$40="","",PEDIDO!$B$40)</f>
        <v>Sí</v>
      </c>
      <c r="D28" s="39" t="str">
        <f>IF(PEDIDO!$C$40="","",PEDIDO!$C$40)</f>
        <v>Sponsors correspondientes</v>
      </c>
    </row>
    <row r="29" ht="15.0" customHeight="1">
      <c r="A29" s="6" t="str">
        <f>PEDIDO!$A$41</f>
        <v>Sponsor 1 — texto y teléfono</v>
      </c>
      <c r="B29" s="4"/>
      <c r="C29" s="39" t="str">
        <f>IF(PEDIDO!$B$41="","",PEDIDO!$B$41)</f>
        <v>Sí</v>
      </c>
      <c r="D29" s="39" t="str">
        <f>IF(PEDIDO!$C$41="","",PEDIDO!$C$41)</f>
        <v>SIN DEFINIR — la confirmación real nunca dijo qué sponsor ni su teléfono</v>
      </c>
    </row>
    <row r="30" ht="15.0" customHeight="1">
      <c r="A30" s="6" t="str">
        <f>PEDIDO!$A$42</f>
        <v>Sponsor 2 — texto y teléfono</v>
      </c>
      <c r="B30" s="4"/>
      <c r="C30" s="39" t="str">
        <f>IF(PEDIDO!$B$42="","",PEDIDO!$B$42)</f>
        <v>No</v>
      </c>
      <c r="D30" s="39" t="str">
        <f>IF(PEDIDO!$C$42="","",PEDIDO!$C$42)</f>
        <v/>
      </c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</row>
    <row r="32" ht="19.5" customHeight="1">
      <c r="A32" s="9" t="s">
        <v>381</v>
      </c>
      <c r="B32" s="2"/>
      <c r="C32" s="2"/>
      <c r="D32" s="2"/>
      <c r="E32" s="2"/>
      <c r="F32" s="2"/>
      <c r="G32" s="2"/>
      <c r="H32" s="2"/>
      <c r="I32" s="2"/>
      <c r="J32" s="3"/>
    </row>
    <row r="33" ht="15.0" customHeight="1">
      <c r="A33" s="6" t="s">
        <v>28</v>
      </c>
      <c r="B33" s="34">
        <f>SUM(PRENDAS!$W$3:$W$202)</f>
        <v>28</v>
      </c>
      <c r="C33" s="4"/>
      <c r="D33" s="6" t="s">
        <v>31</v>
      </c>
      <c r="E33" s="34">
        <f>SUM(PRENDAS!$X$3:$X$202)</f>
        <v>17</v>
      </c>
      <c r="F33" s="4"/>
      <c r="G33" s="6" t="s">
        <v>33</v>
      </c>
      <c r="H33" s="34">
        <f>SUM(PRENDAS!$Y$3:$Y$202)</f>
        <v>17</v>
      </c>
      <c r="I33" s="4"/>
      <c r="J33" s="4"/>
    </row>
    <row r="34" ht="15.0" customHeight="1">
      <c r="A34" s="5" t="s">
        <v>382</v>
      </c>
      <c r="B34" s="4"/>
      <c r="C34" s="4"/>
      <c r="D34" s="4"/>
      <c r="E34" s="4"/>
      <c r="F34" s="4"/>
      <c r="G34" s="4"/>
      <c r="H34" s="4"/>
      <c r="I34" s="4"/>
      <c r="J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</row>
    <row r="36" ht="19.5" customHeight="1">
      <c r="A36" s="9" t="s">
        <v>383</v>
      </c>
      <c r="B36" s="2"/>
      <c r="C36" s="2"/>
      <c r="D36" s="2"/>
      <c r="E36" s="2"/>
      <c r="F36" s="2"/>
      <c r="G36" s="2"/>
      <c r="H36" s="2"/>
      <c r="I36" s="2"/>
      <c r="J36" s="3"/>
    </row>
    <row r="37" ht="25.5" customHeight="1">
      <c r="A37" s="25" t="s">
        <v>10</v>
      </c>
      <c r="B37" s="25" t="s">
        <v>14</v>
      </c>
      <c r="C37" s="25" t="s">
        <v>17</v>
      </c>
      <c r="D37" s="25" t="s">
        <v>20</v>
      </c>
      <c r="E37" s="25" t="s">
        <v>328</v>
      </c>
      <c r="F37" s="25" t="s">
        <v>24</v>
      </c>
      <c r="G37" s="25" t="s">
        <v>27</v>
      </c>
      <c r="H37" s="25" t="s">
        <v>30</v>
      </c>
      <c r="I37" s="25" t="s">
        <v>34</v>
      </c>
      <c r="J37" s="25" t="s">
        <v>47</v>
      </c>
    </row>
    <row r="38" ht="15.0" customHeight="1">
      <c r="A38" s="30">
        <f>IF(PRENDAS!$B3="","",PRENDAS!$A3)</f>
        <v>1</v>
      </c>
      <c r="B38" s="21" t="str">
        <f>IF(PRENDAS!$B3="","",PRENDAS!$B3)</f>
        <v>ANMIX BRENIS</v>
      </c>
      <c r="C38" s="21" t="str">
        <f>IF(PRENDAS!$B3="","",PRENDAS!$D3)</f>
        <v>Kit completo</v>
      </c>
      <c r="D38" s="30" t="str">
        <f>IF(PRENDAS!$B3="","",PRENDAS!$E3)</f>
        <v>M</v>
      </c>
      <c r="E38" s="30" t="str">
        <f>IF(PRENDAS!$B3="","",PRENDAS!$F3)</f>
        <v>7</v>
      </c>
      <c r="F38" s="21" t="str">
        <f>IF(PRENDAS!$B3="","",PRENDAS!$G3)</f>
        <v>Blanco hueso</v>
      </c>
      <c r="G38" s="21" t="str">
        <f>IF(PRENDAS!$B3="","",PRENDAS!$H3)</f>
        <v>Hombre</v>
      </c>
      <c r="H38" s="21" t="str">
        <f>IF(PRENDAS!$B3="","",PRENDAS!$I3)</f>
        <v>Recto</v>
      </c>
      <c r="I38" s="21" t="str">
        <f>IF(PRENDAS!$B3="","",PRENDAS!$J3)</f>
        <v>Redondo</v>
      </c>
      <c r="J38" s="21" t="str">
        <f>IF(PRENDAS!$B3="","",PRENDAS!$P3)</f>
        <v>Nombre de esposa en cuello delantero</v>
      </c>
    </row>
    <row r="39" ht="15.0" customHeight="1">
      <c r="A39" s="30">
        <f>IF(PRENDAS!$B4="","",PRENDAS!$A4)</f>
        <v>2</v>
      </c>
      <c r="B39" s="21" t="str">
        <f>IF(PRENDAS!$B4="","",PRENDAS!$B4)</f>
        <v>J. HUANCAS</v>
      </c>
      <c r="C39" s="21" t="str">
        <f>IF(PRENDAS!$B4="","",PRENDAS!$D4)</f>
        <v>Kit completo</v>
      </c>
      <c r="D39" s="30" t="str">
        <f>IF(PRENDAS!$B4="","",PRENDAS!$E4)</f>
        <v>M</v>
      </c>
      <c r="E39" s="30" t="str">
        <f>IF(PRENDAS!$B4="","",PRENDAS!$F4)</f>
        <v>7</v>
      </c>
      <c r="F39" s="21" t="str">
        <f>IF(PRENDAS!$B4="","",PRENDAS!$G4)</f>
        <v>Blanco hueso</v>
      </c>
      <c r="G39" s="21" t="str">
        <f>IF(PRENDAS!$B4="","",PRENDAS!$H4)</f>
        <v>Hombre</v>
      </c>
      <c r="H39" s="21" t="str">
        <f>IF(PRENDAS!$B4="","",PRENDAS!$I4)</f>
        <v>Recto</v>
      </c>
      <c r="I39" s="21" t="str">
        <f>IF(PRENDAS!$B4="","",PRENDAS!$J4)</f>
        <v>Redondo</v>
      </c>
      <c r="J39" s="21" t="str">
        <f>IF(PRENDAS!$B4="","",PRENDAS!$P4)</f>
        <v/>
      </c>
    </row>
    <row r="40" ht="15.0" customHeight="1">
      <c r="A40" s="30">
        <f>IF(PRENDAS!$B5="","",PRENDAS!$A5)</f>
        <v>3</v>
      </c>
      <c r="B40" s="21" t="str">
        <f>IF(PRENDAS!$B5="","",PRENDAS!$B5)</f>
        <v>BANCES</v>
      </c>
      <c r="C40" s="21" t="str">
        <f>IF(PRENDAS!$B5="","",PRENDAS!$D5)</f>
        <v>Kit completo</v>
      </c>
      <c r="D40" s="30" t="str">
        <f>IF(PRENDAS!$B5="","",PRENDAS!$E5)</f>
        <v>M</v>
      </c>
      <c r="E40" s="30" t="str">
        <f>IF(PRENDAS!$B5="","",PRENDAS!$F5)</f>
        <v>17</v>
      </c>
      <c r="F40" s="21" t="str">
        <f>IF(PRENDAS!$B5="","",PRENDAS!$G5)</f>
        <v>Blanco hueso</v>
      </c>
      <c r="G40" s="21" t="str">
        <f>IF(PRENDAS!$B5="","",PRENDAS!$H5)</f>
        <v>Hombre</v>
      </c>
      <c r="H40" s="21" t="str">
        <f>IF(PRENDAS!$B5="","",PRENDAS!$I5)</f>
        <v>Recto</v>
      </c>
      <c r="I40" s="21" t="str">
        <f>IF(PRENDAS!$B5="","",PRENDAS!$J5)</f>
        <v>Redondo</v>
      </c>
      <c r="J40" s="21" t="str">
        <f>IF(PRENDAS!$B5="","",PRENDAS!$P5)</f>
        <v/>
      </c>
    </row>
    <row r="41" ht="15.0" customHeight="1">
      <c r="A41" s="30">
        <f>IF(PRENDAS!$B6="","",PRENDAS!$A6)</f>
        <v>4</v>
      </c>
      <c r="B41" s="21" t="str">
        <f>IF(PRENDAS!$B6="","",PRENDAS!$B6)</f>
        <v>VENTURA</v>
      </c>
      <c r="C41" s="21" t="str">
        <f>IF(PRENDAS!$B6="","",PRENDAS!$D6)</f>
        <v>Kit completo</v>
      </c>
      <c r="D41" s="30" t="str">
        <f>IF(PRENDAS!$B6="","",PRENDAS!$E6)</f>
        <v>M</v>
      </c>
      <c r="E41" s="30" t="str">
        <f>IF(PRENDAS!$B6="","",PRENDAS!$F6)</f>
        <v>9</v>
      </c>
      <c r="F41" s="21" t="str">
        <f>IF(PRENDAS!$B6="","",PRENDAS!$G6)</f>
        <v>Blanco hueso</v>
      </c>
      <c r="G41" s="21" t="str">
        <f>IF(PRENDAS!$B6="","",PRENDAS!$H6)</f>
        <v>Hombre</v>
      </c>
      <c r="H41" s="21" t="str">
        <f>IF(PRENDAS!$B6="","",PRENDAS!$I6)</f>
        <v>Recto</v>
      </c>
      <c r="I41" s="21" t="str">
        <f>IF(PRENDAS!$B6="","",PRENDAS!$J6)</f>
        <v>Redondo</v>
      </c>
      <c r="J41" s="21" t="str">
        <f>IF(PRENDAS!$B6="","",PRENDAS!$P6)</f>
        <v/>
      </c>
    </row>
    <row r="42" ht="15.0" customHeight="1">
      <c r="A42" s="30">
        <f>IF(PRENDAS!$B7="","",PRENDAS!$A7)</f>
        <v>5</v>
      </c>
      <c r="B42" s="21" t="str">
        <f>IF(PRENDAS!$B7="","",PRENDAS!$B7)</f>
        <v>JHEINER</v>
      </c>
      <c r="C42" s="21" t="str">
        <f>IF(PRENDAS!$B7="","",PRENDAS!$D7)</f>
        <v>Kit completo</v>
      </c>
      <c r="D42" s="30" t="str">
        <f>IF(PRENDAS!$B7="","",PRENDAS!$E7)</f>
        <v>M</v>
      </c>
      <c r="E42" s="30" t="str">
        <f>IF(PRENDAS!$B7="","",PRENDAS!$F7)</f>
        <v>12</v>
      </c>
      <c r="F42" s="21" t="str">
        <f>IF(PRENDAS!$B7="","",PRENDAS!$G7)</f>
        <v>Blanco hueso</v>
      </c>
      <c r="G42" s="21" t="str">
        <f>IF(PRENDAS!$B7="","",PRENDAS!$H7)</f>
        <v>Hombre</v>
      </c>
      <c r="H42" s="21" t="str">
        <f>IF(PRENDAS!$B7="","",PRENDAS!$I7)</f>
        <v>Recto</v>
      </c>
      <c r="I42" s="21" t="str">
        <f>IF(PRENDAS!$B7="","",PRENDAS!$J7)</f>
        <v>Redondo</v>
      </c>
      <c r="J42" s="21" t="str">
        <f>IF(PRENDAS!$B7="","",PRENDAS!$P7)</f>
        <v/>
      </c>
    </row>
    <row r="43" ht="15.0" customHeight="1">
      <c r="A43" s="30">
        <f>IF(PRENDAS!$B8="","",PRENDAS!$A8)</f>
        <v>6</v>
      </c>
      <c r="B43" s="21" t="str">
        <f>IF(PRENDAS!$B8="","",PRENDAS!$B8)</f>
        <v>JUAN R.</v>
      </c>
      <c r="C43" s="21" t="str">
        <f>IF(PRENDAS!$B8="","",PRENDAS!$D8)</f>
        <v>Kit completo</v>
      </c>
      <c r="D43" s="30" t="str">
        <f>IF(PRENDAS!$B8="","",PRENDAS!$E8)</f>
        <v>M</v>
      </c>
      <c r="E43" s="30" t="str">
        <f>IF(PRENDAS!$B8="","",PRENDAS!$F8)</f>
        <v>12</v>
      </c>
      <c r="F43" s="21" t="str">
        <f>IF(PRENDAS!$B8="","",PRENDAS!$G8)</f>
        <v>Blanco hueso</v>
      </c>
      <c r="G43" s="21" t="str">
        <f>IF(PRENDAS!$B8="","",PRENDAS!$H8)</f>
        <v>Hombre</v>
      </c>
      <c r="H43" s="21" t="str">
        <f>IF(PRENDAS!$B8="","",PRENDAS!$I8)</f>
        <v>Recto</v>
      </c>
      <c r="I43" s="21" t="str">
        <f>IF(PRENDAS!$B8="","",PRENDAS!$J8)</f>
        <v>Redondo</v>
      </c>
      <c r="J43" s="21" t="str">
        <f>IF(PRENDAS!$B8="","",PRENDAS!$P8)</f>
        <v>JUAN R. nombre principal; KALESSI en cuello delantero; JOHNATAN manga izquierda; DIEGO manga derecha</v>
      </c>
    </row>
    <row r="44" ht="15.0" customHeight="1">
      <c r="A44" s="30">
        <f>IF(PRENDAS!$B9="","",PRENDAS!$A9)</f>
        <v>7</v>
      </c>
      <c r="B44" s="21" t="str">
        <f>IF(PRENDAS!$B9="","",PRENDAS!$B9)</f>
        <v>JORGE C.</v>
      </c>
      <c r="C44" s="21" t="str">
        <f>IF(PRENDAS!$B9="","",PRENDAS!$D9)</f>
        <v>Kit completo</v>
      </c>
      <c r="D44" s="30" t="str">
        <f>IF(PRENDAS!$B9="","",PRENDAS!$E9)</f>
        <v>M</v>
      </c>
      <c r="E44" s="30" t="str">
        <f>IF(PRENDAS!$B9="","",PRENDAS!$F9)</f>
        <v>7</v>
      </c>
      <c r="F44" s="21" t="str">
        <f>IF(PRENDAS!$B9="","",PRENDAS!$G9)</f>
        <v>Blanco hueso</v>
      </c>
      <c r="G44" s="21" t="str">
        <f>IF(PRENDAS!$B9="","",PRENDAS!$H9)</f>
        <v>Hombre</v>
      </c>
      <c r="H44" s="21" t="str">
        <f>IF(PRENDAS!$B9="","",PRENDAS!$I9)</f>
        <v>Recto</v>
      </c>
      <c r="I44" s="21" t="str">
        <f>IF(PRENDAS!$B9="","",PRENDAS!$J9)</f>
        <v>Redondo</v>
      </c>
      <c r="J44" s="21" t="str">
        <f>IF(PRENDAS!$B9="","",PRENDAS!$P9)</f>
        <v/>
      </c>
    </row>
    <row r="45" ht="15.0" customHeight="1">
      <c r="A45" s="30">
        <f>IF(PRENDAS!$B10="","",PRENDAS!$A10)</f>
        <v>8</v>
      </c>
      <c r="B45" s="21" t="str">
        <f>IF(PRENDAS!$B10="","",PRENDAS!$B10)</f>
        <v>C. ACOSTA</v>
      </c>
      <c r="C45" s="21" t="str">
        <f>IF(PRENDAS!$B10="","",PRENDAS!$D10)</f>
        <v>Kit completo</v>
      </c>
      <c r="D45" s="30" t="str">
        <f>IF(PRENDAS!$B10="","",PRENDAS!$E10)</f>
        <v>M</v>
      </c>
      <c r="E45" s="30" t="str">
        <f>IF(PRENDAS!$B10="","",PRENDAS!$F10)</f>
        <v>10</v>
      </c>
      <c r="F45" s="21" t="str">
        <f>IF(PRENDAS!$B10="","",PRENDAS!$G10)</f>
        <v>Blanco hueso</v>
      </c>
      <c r="G45" s="21" t="str">
        <f>IF(PRENDAS!$B10="","",PRENDAS!$H10)</f>
        <v>Hombre</v>
      </c>
      <c r="H45" s="21" t="str">
        <f>IF(PRENDAS!$B10="","",PRENDAS!$I10)</f>
        <v>Recto</v>
      </c>
      <c r="I45" s="21" t="str">
        <f>IF(PRENDAS!$B10="","",PRENDAS!$J10)</f>
        <v>Redondo</v>
      </c>
      <c r="J45" s="21" t="str">
        <f>IF(PRENDAS!$B10="","",PRENDAS!$P10)</f>
        <v/>
      </c>
    </row>
    <row r="46" ht="15.0" customHeight="1">
      <c r="A46" s="30">
        <f>IF(PRENDAS!$B11="","",PRENDAS!$A11)</f>
        <v>9</v>
      </c>
      <c r="B46" s="21" t="str">
        <f>IF(PRENDAS!$B11="","",PRENDAS!$B11)</f>
        <v>LADINES</v>
      </c>
      <c r="C46" s="21" t="str">
        <f>IF(PRENDAS!$B11="","",PRENDAS!$D11)</f>
        <v>Kit completo</v>
      </c>
      <c r="D46" s="30" t="str">
        <f>IF(PRENDAS!$B11="","",PRENDAS!$E11)</f>
        <v>L</v>
      </c>
      <c r="E46" s="30" t="str">
        <f>IF(PRENDAS!$B11="","",PRENDAS!$F11)</f>
        <v>3</v>
      </c>
      <c r="F46" s="21" t="str">
        <f>IF(PRENDAS!$B11="","",PRENDAS!$G11)</f>
        <v>Blanco hueso</v>
      </c>
      <c r="G46" s="21" t="str">
        <f>IF(PRENDAS!$B11="","",PRENDAS!$H11)</f>
        <v>Hombre</v>
      </c>
      <c r="H46" s="21" t="str">
        <f>IF(PRENDAS!$B11="","",PRENDAS!$I11)</f>
        <v>Recto</v>
      </c>
      <c r="I46" s="21" t="str">
        <f>IF(PRENDAS!$B11="","",PRENDAS!$J11)</f>
        <v>Redondo</v>
      </c>
      <c r="J46" s="21" t="str">
        <f>IF(PRENDAS!$B11="","",PRENDAS!$P11)</f>
        <v/>
      </c>
    </row>
    <row r="47" ht="15.0" customHeight="1">
      <c r="A47" s="30">
        <f>IF(PRENDAS!$B12="","",PRENDAS!$A12)</f>
        <v>10</v>
      </c>
      <c r="B47" s="21" t="str">
        <f>IF(PRENDAS!$B12="","",PRENDAS!$B12)</f>
        <v>GUSTAVO R.</v>
      </c>
      <c r="C47" s="21" t="str">
        <f>IF(PRENDAS!$B12="","",PRENDAS!$D12)</f>
        <v>Kit completo</v>
      </c>
      <c r="D47" s="30" t="str">
        <f>IF(PRENDAS!$B12="","",PRENDAS!$E12)</f>
        <v>L</v>
      </c>
      <c r="E47" s="30" t="str">
        <f>IF(PRENDAS!$B12="","",PRENDAS!$F12)</f>
        <v>11</v>
      </c>
      <c r="F47" s="21" t="str">
        <f>IF(PRENDAS!$B12="","",PRENDAS!$G12)</f>
        <v>Blanco hueso</v>
      </c>
      <c r="G47" s="21" t="str">
        <f>IF(PRENDAS!$B12="","",PRENDAS!$H12)</f>
        <v>Hombre</v>
      </c>
      <c r="H47" s="21" t="str">
        <f>IF(PRENDAS!$B12="","",PRENDAS!$I12)</f>
        <v>Recto</v>
      </c>
      <c r="I47" s="21" t="str">
        <f>IF(PRENDAS!$B12="","",PRENDAS!$J12)</f>
        <v>Redondo</v>
      </c>
      <c r="J47" s="21" t="str">
        <f>IF(PRENDAS!$B12="","",PRENDAS!$P12)</f>
        <v/>
      </c>
    </row>
    <row r="48" ht="15.0" customHeight="1">
      <c r="A48" s="30">
        <f>IF(PRENDAS!$B13="","",PRENDAS!$A13)</f>
        <v>11</v>
      </c>
      <c r="B48" s="21" t="str">
        <f>IF(PRENDAS!$B13="","",PRENDAS!$B13)</f>
        <v>CALDERON</v>
      </c>
      <c r="C48" s="21" t="str">
        <f>IF(PRENDAS!$B13="","",PRENDAS!$D13)</f>
        <v>Kit completo</v>
      </c>
      <c r="D48" s="30" t="str">
        <f>IF(PRENDAS!$B13="","",PRENDAS!$E13)</f>
        <v>L</v>
      </c>
      <c r="E48" s="30" t="str">
        <f>IF(PRENDAS!$B13="","",PRENDAS!$F13)</f>
        <v>14</v>
      </c>
      <c r="F48" s="21" t="str">
        <f>IF(PRENDAS!$B13="","",PRENDAS!$G13)</f>
        <v>Blanco hueso</v>
      </c>
      <c r="G48" s="21" t="str">
        <f>IF(PRENDAS!$B13="","",PRENDAS!$H13)</f>
        <v>Hombre</v>
      </c>
      <c r="H48" s="21" t="str">
        <f>IF(PRENDAS!$B13="","",PRENDAS!$I13)</f>
        <v>Recto</v>
      </c>
      <c r="I48" s="21" t="str">
        <f>IF(PRENDAS!$B13="","",PRENDAS!$J13)</f>
        <v>Redondo</v>
      </c>
      <c r="J48" s="21" t="str">
        <f>IF(PRENDAS!$B13="","",PRENDAS!$P13)</f>
        <v/>
      </c>
    </row>
    <row r="49" ht="15.0" customHeight="1">
      <c r="A49" s="30">
        <f>IF(PRENDAS!$B14="","",PRENDAS!$A14)</f>
        <v>12</v>
      </c>
      <c r="B49" s="21" t="str">
        <f>IF(PRENDAS!$B14="","",PRENDAS!$B14)</f>
        <v>ALAN F.</v>
      </c>
      <c r="C49" s="21" t="str">
        <f>IF(PRENDAS!$B14="","",PRENDAS!$D14)</f>
        <v>Kit completo</v>
      </c>
      <c r="D49" s="30" t="str">
        <f>IF(PRENDAS!$B14="","",PRENDAS!$E14)</f>
        <v>L</v>
      </c>
      <c r="E49" s="30" t="str">
        <f>IF(PRENDAS!$B14="","",PRENDAS!$F14)</f>
        <v>8</v>
      </c>
      <c r="F49" s="21" t="str">
        <f>IF(PRENDAS!$B14="","",PRENDAS!$G14)</f>
        <v>Blanco hueso</v>
      </c>
      <c r="G49" s="21" t="str">
        <f>IF(PRENDAS!$B14="","",PRENDAS!$H14)</f>
        <v>Hombre</v>
      </c>
      <c r="H49" s="21" t="str">
        <f>IF(PRENDAS!$B14="","",PRENDAS!$I14)</f>
        <v>Recto</v>
      </c>
      <c r="I49" s="21" t="str">
        <f>IF(PRENDAS!$B14="","",PRENDAS!$J14)</f>
        <v>Redondo</v>
      </c>
      <c r="J49" s="21" t="str">
        <f>IF(PRENDAS!$B14="","",PRENDAS!$P14)</f>
        <v/>
      </c>
    </row>
    <row r="50" ht="15.0" customHeight="1">
      <c r="A50" s="30">
        <f>IF(PRENDAS!$B15="","",PRENDAS!$A15)</f>
        <v>13</v>
      </c>
      <c r="B50" s="21" t="str">
        <f>IF(PRENDAS!$B15="","",PRENDAS!$B15)</f>
        <v>ALAN R.</v>
      </c>
      <c r="C50" s="21" t="str">
        <f>IF(PRENDAS!$B15="","",PRENDAS!$D15)</f>
        <v>Kit completo</v>
      </c>
      <c r="D50" s="30" t="str">
        <f>IF(PRENDAS!$B15="","",PRENDAS!$E15)</f>
        <v>L</v>
      </c>
      <c r="E50" s="30" t="str">
        <f>IF(PRENDAS!$B15="","",PRENDAS!$F15)</f>
        <v>7</v>
      </c>
      <c r="F50" s="21" t="str">
        <f>IF(PRENDAS!$B15="","",PRENDAS!$G15)</f>
        <v>Blanco hueso</v>
      </c>
      <c r="G50" s="21" t="str">
        <f>IF(PRENDAS!$B15="","",PRENDAS!$H15)</f>
        <v>Hombre</v>
      </c>
      <c r="H50" s="21" t="str">
        <f>IF(PRENDAS!$B15="","",PRENDAS!$I15)</f>
        <v>Recto</v>
      </c>
      <c r="I50" s="21" t="str">
        <f>IF(PRENDAS!$B15="","",PRENDAS!$J15)</f>
        <v>Redondo</v>
      </c>
      <c r="J50" s="21" t="str">
        <f>IF(PRENDAS!$B15="","",PRENDAS!$P15)</f>
        <v/>
      </c>
    </row>
    <row r="51" ht="15.0" customHeight="1">
      <c r="A51" s="30">
        <f>IF(PRENDAS!$B16="","",PRENDAS!$A16)</f>
        <v>14</v>
      </c>
      <c r="B51" s="21" t="str">
        <f>IF(PRENDAS!$B16="","",PRENDAS!$B16)</f>
        <v>FLORES</v>
      </c>
      <c r="C51" s="21" t="str">
        <f>IF(PRENDAS!$B16="","",PRENDAS!$D16)</f>
        <v>Kit completo</v>
      </c>
      <c r="D51" s="30" t="str">
        <f>IF(PRENDAS!$B16="","",PRENDAS!$E16)</f>
        <v>L</v>
      </c>
      <c r="E51" s="30" t="str">
        <f>IF(PRENDAS!$B16="","",PRENDAS!$F16)</f>
        <v>30</v>
      </c>
      <c r="F51" s="21" t="str">
        <f>IF(PRENDAS!$B16="","",PRENDAS!$G16)</f>
        <v>Blanco hueso</v>
      </c>
      <c r="G51" s="21" t="str">
        <f>IF(PRENDAS!$B16="","",PRENDAS!$H16)</f>
        <v>Hombre</v>
      </c>
      <c r="H51" s="21" t="str">
        <f>IF(PRENDAS!$B16="","",PRENDAS!$I16)</f>
        <v>Recto</v>
      </c>
      <c r="I51" s="21" t="str">
        <f>IF(PRENDAS!$B16="","",PRENDAS!$J16)</f>
        <v>Redondo</v>
      </c>
      <c r="J51" s="21" t="str">
        <f>IF(PRENDAS!$B16="","",PRENDAS!$P16)</f>
        <v/>
      </c>
    </row>
    <row r="52" ht="15.0" customHeight="1">
      <c r="A52" s="30">
        <f>IF(PRENDAS!$B17="","",PRENDAS!$A17)</f>
        <v>15</v>
      </c>
      <c r="B52" s="21" t="str">
        <f>IF(PRENDAS!$B17="","",PRENDAS!$B17)</f>
        <v>CLINT</v>
      </c>
      <c r="C52" s="21" t="str">
        <f>IF(PRENDAS!$B17="","",PRENDAS!$D17)</f>
        <v>Kit completo</v>
      </c>
      <c r="D52" s="30" t="str">
        <f>IF(PRENDAS!$B17="","",PRENDAS!$E17)</f>
        <v>XL</v>
      </c>
      <c r="E52" s="30" t="str">
        <f>IF(PRENDAS!$B17="","",PRENDAS!$F17)</f>
        <v>69</v>
      </c>
      <c r="F52" s="21" t="str">
        <f>IF(PRENDAS!$B17="","",PRENDAS!$G17)</f>
        <v>Blanco hueso</v>
      </c>
      <c r="G52" s="21" t="str">
        <f>IF(PRENDAS!$B17="","",PRENDAS!$H17)</f>
        <v>Hombre</v>
      </c>
      <c r="H52" s="21" t="str">
        <f>IF(PRENDAS!$B17="","",PRENDAS!$I17)</f>
        <v>Recto</v>
      </c>
      <c r="I52" s="21" t="str">
        <f>IF(PRENDAS!$B17="","",PRENDAS!$J17)</f>
        <v>Redondo</v>
      </c>
      <c r="J52" s="21" t="str">
        <f>IF(PRENDAS!$B17="","",PRENDAS!$P17)</f>
        <v>Nombres de los hijos en las mangas; nombre de la esposa en el cuello delantero</v>
      </c>
    </row>
    <row r="53" ht="15.0" customHeight="1">
      <c r="A53" s="30">
        <f>IF(PRENDAS!$B18="","",PRENDAS!$A18)</f>
        <v>16</v>
      </c>
      <c r="B53" s="50" t="str">
        <f>IF(PRENDAS!$B18="","",PRENDAS!$B18)</f>
        <v>HA.LI</v>
      </c>
      <c r="C53" s="21" t="str">
        <f>IF(PRENDAS!$B18="","",PRENDAS!$D18)</f>
        <v>Kit completo</v>
      </c>
      <c r="D53" s="30" t="str">
        <f>IF(PRENDAS!$B18="","",PRENDAS!$E18)</f>
        <v>XL</v>
      </c>
      <c r="E53" s="30" t="str">
        <f>IF(PRENDAS!$B18="","",PRENDAS!$F18)</f>
        <v>119</v>
      </c>
      <c r="F53" s="21" t="str">
        <f>IF(PRENDAS!$B18="","",PRENDAS!$G18)</f>
        <v>Blanco hueso</v>
      </c>
      <c r="G53" s="21" t="str">
        <f>IF(PRENDAS!$B18="","",PRENDAS!$H18)</f>
        <v>Hombre</v>
      </c>
      <c r="H53" s="21" t="str">
        <f>IF(PRENDAS!$B18="","",PRENDAS!$I18)</f>
        <v>Recto</v>
      </c>
      <c r="I53" s="21" t="str">
        <f>IF(PRENDAS!$B18="","",PRENDAS!$J18)</f>
        <v>Redondo</v>
      </c>
      <c r="J53" s="21" t="str">
        <f>IF(PRENDAS!$B18="","",PRENDAS!$P18)</f>
        <v/>
      </c>
    </row>
    <row r="54" ht="15.0" customHeight="1">
      <c r="A54" s="30">
        <f>IF(PRENDAS!$B19="","",PRENDAS!$A19)</f>
        <v>17</v>
      </c>
      <c r="B54" s="21" t="str">
        <f>IF(PRENDAS!$B19="","",PRENDAS!$B19)</f>
        <v>THEO</v>
      </c>
      <c r="C54" s="21" t="str">
        <f>IF(PRENDAS!$B19="","",PRENDAS!$D19)</f>
        <v>Camiseta sola</v>
      </c>
      <c r="D54" s="30" t="str">
        <f>IF(PRENDAS!$B19="","",PRENDAS!$E19)</f>
        <v>10</v>
      </c>
      <c r="E54" s="30" t="str">
        <f>IF(PRENDAS!$B19="","",PRENDAS!$F19)</f>
        <v>69</v>
      </c>
      <c r="F54" s="21" t="str">
        <f>IF(PRENDAS!$B19="","",PRENDAS!$G19)</f>
        <v>Blanco hueso</v>
      </c>
      <c r="G54" s="21" t="str">
        <f>IF(PRENDAS!$B19="","",PRENDAS!$H19)</f>
        <v>Niño</v>
      </c>
      <c r="H54" s="21" t="str">
        <f>IF(PRENDAS!$B19="","",PRENDAS!$I19)</f>
        <v>Recto</v>
      </c>
      <c r="I54" s="21" t="str">
        <f>IF(PRENDAS!$B19="","",PRENDAS!$J19)</f>
        <v>Redondo</v>
      </c>
      <c r="J54" s="21" t="str">
        <f>IF(PRENDAS!$B19="","",PRENDAS!$P19)</f>
        <v/>
      </c>
    </row>
    <row r="55" ht="15.0" customHeight="1">
      <c r="A55" s="30">
        <f>IF(PRENDAS!$B20="","",PRENDAS!$A20)</f>
        <v>18</v>
      </c>
      <c r="B55" s="21" t="str">
        <f>IF(PRENDAS!$B20="","",PRENDAS!$B20)</f>
        <v>THIAGO R.</v>
      </c>
      <c r="C55" s="21" t="str">
        <f>IF(PRENDAS!$B20="","",PRENDAS!$D20)</f>
        <v>Camiseta sola</v>
      </c>
      <c r="D55" s="30" t="str">
        <f>IF(PRENDAS!$B20="","",PRENDAS!$E20)</f>
        <v>14</v>
      </c>
      <c r="E55" s="30" t="str">
        <f>IF(PRENDAS!$B20="","",PRENDAS!$F20)</f>
        <v>8</v>
      </c>
      <c r="F55" s="21" t="str">
        <f>IF(PRENDAS!$B20="","",PRENDAS!$G20)</f>
        <v>Blanco hueso</v>
      </c>
      <c r="G55" s="21" t="str">
        <f>IF(PRENDAS!$B20="","",PRENDAS!$H20)</f>
        <v>Niño</v>
      </c>
      <c r="H55" s="21" t="str">
        <f>IF(PRENDAS!$B20="","",PRENDAS!$I20)</f>
        <v>Recto</v>
      </c>
      <c r="I55" s="21" t="str">
        <f>IF(PRENDAS!$B20="","",PRENDAS!$J20)</f>
        <v>Redondo</v>
      </c>
      <c r="J55" s="21" t="str">
        <f>IF(PRENDAS!$B20="","",PRENDAS!$P20)</f>
        <v/>
      </c>
    </row>
    <row r="56" ht="15.0" customHeight="1">
      <c r="A56" s="30">
        <f>IF(PRENDAS!$B21="","",PRENDAS!$A21)</f>
        <v>19</v>
      </c>
      <c r="B56" s="21" t="str">
        <f>IF(PRENDAS!$B21="","",PRENDAS!$B21)</f>
        <v>AMPARO</v>
      </c>
      <c r="C56" s="21" t="str">
        <f>IF(PRENDAS!$B21="","",PRENDAS!$D21)</f>
        <v>Camiseta sola</v>
      </c>
      <c r="D56" s="30" t="str">
        <f>IF(PRENDAS!$B21="","",PRENDAS!$E21)</f>
        <v>S</v>
      </c>
      <c r="E56" s="30" t="str">
        <f>IF(PRENDAS!$B21="","",PRENDAS!$F21)</f>
        <v>4</v>
      </c>
      <c r="F56" s="21" t="str">
        <f>IF(PRENDAS!$B21="","",PRENDAS!$G21)</f>
        <v>Blanco hueso</v>
      </c>
      <c r="G56" s="21" t="str">
        <f>IF(PRENDAS!$B21="","",PRENDAS!$H21)</f>
        <v>Mujer</v>
      </c>
      <c r="H56" s="21" t="str">
        <f>IF(PRENDAS!$B21="","",PRENDAS!$I21)</f>
        <v>Entallado</v>
      </c>
      <c r="I56" s="21" t="str">
        <f>IF(PRENDAS!$B21="","",PRENDAS!$J21)</f>
        <v>Redondo</v>
      </c>
      <c r="J56" s="21" t="str">
        <f>IF(PRENDAS!$B21="","",PRENDAS!$P21)</f>
        <v/>
      </c>
    </row>
    <row r="57" ht="15.0" customHeight="1">
      <c r="A57" s="30">
        <f>IF(PRENDAS!$B22="","",PRENDAS!$A22)</f>
        <v>20</v>
      </c>
      <c r="B57" s="21" t="str">
        <f>IF(PRENDAS!$B22="","",PRENDAS!$B22)</f>
        <v>TOGUE</v>
      </c>
      <c r="C57" s="21" t="str">
        <f>IF(PRENDAS!$B22="","",PRENDAS!$D22)</f>
        <v>Camiseta sola</v>
      </c>
      <c r="D57" s="30" t="str">
        <f>IF(PRENDAS!$B22="","",PRENDAS!$E22)</f>
        <v>S</v>
      </c>
      <c r="E57" s="30" t="str">
        <f>IF(PRENDAS!$B22="","",PRENDAS!$F22)</f>
        <v>8</v>
      </c>
      <c r="F57" s="21" t="str">
        <f>IF(PRENDAS!$B22="","",PRENDAS!$G22)</f>
        <v>Blanco hueso</v>
      </c>
      <c r="G57" s="21" t="str">
        <f>IF(PRENDAS!$B22="","",PRENDAS!$H22)</f>
        <v>Hombre</v>
      </c>
      <c r="H57" s="21" t="str">
        <f>IF(PRENDAS!$B22="","",PRENDAS!$I22)</f>
        <v>Recto</v>
      </c>
      <c r="I57" s="21" t="str">
        <f>IF(PRENDAS!$B22="","",PRENDAS!$J22)</f>
        <v>Redondo</v>
      </c>
      <c r="J57" s="21" t="str">
        <f>IF(PRENDAS!$B22="","",PRENDAS!$P22)</f>
        <v/>
      </c>
    </row>
    <row r="58" ht="15.0" customHeight="1">
      <c r="A58" s="30">
        <f>IF(PRENDAS!$B23="","",PRENDAS!$A23)</f>
        <v>21</v>
      </c>
      <c r="B58" s="21" t="str">
        <f>IF(PRENDAS!$B23="","",PRENDAS!$B23)</f>
        <v>MIRTHA</v>
      </c>
      <c r="C58" s="21" t="str">
        <f>IF(PRENDAS!$B23="","",PRENDAS!$D23)</f>
        <v>Camiseta sola</v>
      </c>
      <c r="D58" s="30" t="str">
        <f>IF(PRENDAS!$B23="","",PRENDAS!$E23)</f>
        <v>S</v>
      </c>
      <c r="E58" s="30" t="str">
        <f>IF(PRENDAS!$B23="","",PRENDAS!$F23)</f>
        <v>23</v>
      </c>
      <c r="F58" s="21" t="str">
        <f>IF(PRENDAS!$B23="","",PRENDAS!$G23)</f>
        <v>Blanco hueso</v>
      </c>
      <c r="G58" s="21" t="str">
        <f>IF(PRENDAS!$B23="","",PRENDAS!$H23)</f>
        <v>Mujer</v>
      </c>
      <c r="H58" s="21" t="str">
        <f>IF(PRENDAS!$B23="","",PRENDAS!$I23)</f>
        <v>Entallado</v>
      </c>
      <c r="I58" s="21" t="str">
        <f>IF(PRENDAS!$B23="","",PRENDAS!$J23)</f>
        <v>Redondo</v>
      </c>
      <c r="J58" s="21" t="str">
        <f>IF(PRENDAS!$B23="","",PRENDAS!$P23)</f>
        <v/>
      </c>
    </row>
    <row r="59" ht="15.0" customHeight="1">
      <c r="A59" s="30">
        <f>IF(PRENDAS!$B24="","",PRENDAS!$A24)</f>
        <v>22</v>
      </c>
      <c r="B59" s="21" t="str">
        <f>IF(PRENDAS!$B24="","",PRENDAS!$B24)</f>
        <v>ANA LI</v>
      </c>
      <c r="C59" s="21" t="str">
        <f>IF(PRENDAS!$B24="","",PRENDAS!$D24)</f>
        <v>Camiseta sola</v>
      </c>
      <c r="D59" s="30" t="str">
        <f>IF(PRENDAS!$B24="","",PRENDAS!$E24)</f>
        <v>M</v>
      </c>
      <c r="E59" s="30" t="str">
        <f>IF(PRENDAS!$B24="","",PRENDAS!$F24)</f>
        <v>11</v>
      </c>
      <c r="F59" s="21" t="str">
        <f>IF(PRENDAS!$B24="","",PRENDAS!$G24)</f>
        <v>Blanco hueso</v>
      </c>
      <c r="G59" s="21" t="str">
        <f>IF(PRENDAS!$B24="","",PRENDAS!$H24)</f>
        <v>Mujer</v>
      </c>
      <c r="H59" s="21" t="str">
        <f>IF(PRENDAS!$B24="","",PRENDAS!$I24)</f>
        <v>Entallado</v>
      </c>
      <c r="I59" s="21" t="str">
        <f>IF(PRENDAS!$B24="","",PRENDAS!$J24)</f>
        <v>Redondo</v>
      </c>
      <c r="J59" s="21" t="str">
        <f>IF(PRENDAS!$B24="","",PRENDAS!$P24)</f>
        <v/>
      </c>
    </row>
    <row r="60" ht="15.0" customHeight="1">
      <c r="A60" s="30">
        <f>IF(PRENDAS!$B25="","",PRENDAS!$A25)</f>
        <v>23</v>
      </c>
      <c r="B60" s="21" t="str">
        <f>IF(PRENDAS!$B25="","",PRENDAS!$B25)</f>
        <v>LOCONI</v>
      </c>
      <c r="C60" s="21" t="str">
        <f>IF(PRENDAS!$B25="","",PRENDAS!$D25)</f>
        <v>Camiseta sola</v>
      </c>
      <c r="D60" s="30" t="str">
        <f>IF(PRENDAS!$B25="","",PRENDAS!$E25)</f>
        <v>M</v>
      </c>
      <c r="E60" s="30" t="str">
        <f>IF(PRENDAS!$B25="","",PRENDAS!$F25)</f>
        <v>98</v>
      </c>
      <c r="F60" s="21" t="str">
        <f>IF(PRENDAS!$B25="","",PRENDAS!$G25)</f>
        <v>Blanco hueso</v>
      </c>
      <c r="G60" s="21" t="str">
        <f>IF(PRENDAS!$B25="","",PRENDAS!$H25)</f>
        <v>Hombre</v>
      </c>
      <c r="H60" s="21" t="str">
        <f>IF(PRENDAS!$B25="","",PRENDAS!$I25)</f>
        <v>Recto</v>
      </c>
      <c r="I60" s="21" t="str">
        <f>IF(PRENDAS!$B25="","",PRENDAS!$J25)</f>
        <v>Redondo</v>
      </c>
      <c r="J60" s="21" t="str">
        <f>IF(PRENDAS!$B25="","",PRENDAS!$P25)</f>
        <v/>
      </c>
    </row>
    <row r="61" ht="15.0" customHeight="1">
      <c r="A61" s="30">
        <f>IF(PRENDAS!$B26="","",PRENDAS!$A26)</f>
        <v>24</v>
      </c>
      <c r="B61" s="21" t="str">
        <f>IF(PRENDAS!$B26="","",PRENDAS!$B26)</f>
        <v>HADA</v>
      </c>
      <c r="C61" s="21" t="str">
        <f>IF(PRENDAS!$B26="","",PRENDAS!$D26)</f>
        <v>Camiseta sola</v>
      </c>
      <c r="D61" s="30" t="str">
        <f>IF(PRENDAS!$B26="","",PRENDAS!$E26)</f>
        <v>M</v>
      </c>
      <c r="E61" s="30" t="str">
        <f>IF(PRENDAS!$B26="","",PRENDAS!$F26)</f>
        <v>8</v>
      </c>
      <c r="F61" s="21" t="str">
        <f>IF(PRENDAS!$B26="","",PRENDAS!$G26)</f>
        <v>Blanco hueso</v>
      </c>
      <c r="G61" s="21" t="str">
        <f>IF(PRENDAS!$B26="","",PRENDAS!$H26)</f>
        <v>Mujer</v>
      </c>
      <c r="H61" s="21" t="str">
        <f>IF(PRENDAS!$B26="","",PRENDAS!$I26)</f>
        <v>Entallado</v>
      </c>
      <c r="I61" s="21" t="str">
        <f>IF(PRENDAS!$B26="","",PRENDAS!$J26)</f>
        <v>Redondo</v>
      </c>
      <c r="J61" s="21" t="str">
        <f>IF(PRENDAS!$B26="","",PRENDAS!$P26)</f>
        <v/>
      </c>
    </row>
    <row r="62" ht="15.0" customHeight="1">
      <c r="A62" s="30">
        <f>IF(PRENDAS!$B27="","",PRENDAS!$A27)</f>
        <v>25</v>
      </c>
      <c r="B62" s="21" t="str">
        <f>IF(PRENDAS!$B27="","",PRENDAS!$B27)</f>
        <v>PATRICIA A.</v>
      </c>
      <c r="C62" s="21" t="str">
        <f>IF(PRENDAS!$B27="","",PRENDAS!$D27)</f>
        <v>Camiseta sola</v>
      </c>
      <c r="D62" s="30" t="str">
        <f>IF(PRENDAS!$B27="","",PRENDAS!$E27)</f>
        <v>M</v>
      </c>
      <c r="E62" s="30" t="str">
        <f>IF(PRENDAS!$B27="","",PRENDAS!$F27)</f>
        <v>10</v>
      </c>
      <c r="F62" s="21" t="str">
        <f>IF(PRENDAS!$B27="","",PRENDAS!$G27)</f>
        <v>Blanco hueso</v>
      </c>
      <c r="G62" s="21" t="str">
        <f>IF(PRENDAS!$B27="","",PRENDAS!$H27)</f>
        <v>Mujer</v>
      </c>
      <c r="H62" s="21" t="str">
        <f>IF(PRENDAS!$B27="","",PRENDAS!$I27)</f>
        <v>Entallado</v>
      </c>
      <c r="I62" s="21" t="str">
        <f>IF(PRENDAS!$B27="","",PRENDAS!$J27)</f>
        <v>Redondo</v>
      </c>
      <c r="J62" s="21" t="str">
        <f>IF(PRENDAS!$B27="","",PRENDAS!$P27)</f>
        <v/>
      </c>
    </row>
    <row r="63" ht="15.0" customHeight="1">
      <c r="A63" s="30">
        <f>IF(PRENDAS!$B28="","",PRENDAS!$A28)</f>
        <v>26</v>
      </c>
      <c r="B63" s="21" t="str">
        <f>IF(PRENDAS!$B28="","",PRENDAS!$B28)</f>
        <v>CYNTHIA</v>
      </c>
      <c r="C63" s="21" t="str">
        <f>IF(PRENDAS!$B28="","",PRENDAS!$D28)</f>
        <v>Camiseta sola</v>
      </c>
      <c r="D63" s="30" t="str">
        <f>IF(PRENDAS!$B28="","",PRENDAS!$E28)</f>
        <v>L</v>
      </c>
      <c r="E63" s="30" t="str">
        <f>IF(PRENDAS!$B28="","",PRENDAS!$F28)</f>
        <v>25</v>
      </c>
      <c r="F63" s="21" t="str">
        <f>IF(PRENDAS!$B28="","",PRENDAS!$G28)</f>
        <v>Blanco hueso</v>
      </c>
      <c r="G63" s="21" t="str">
        <f>IF(PRENDAS!$B28="","",PRENDAS!$H28)</f>
        <v>Mujer</v>
      </c>
      <c r="H63" s="21" t="str">
        <f>IF(PRENDAS!$B28="","",PRENDAS!$I28)</f>
        <v>Entallado</v>
      </c>
      <c r="I63" s="21" t="str">
        <f>IF(PRENDAS!$B28="","",PRENDAS!$J28)</f>
        <v>Redondo</v>
      </c>
      <c r="J63" s="21" t="str">
        <f>IF(PRENDAS!$B28="","",PRENDAS!$P28)</f>
        <v/>
      </c>
    </row>
    <row r="64" ht="15.0" customHeight="1">
      <c r="A64" s="30">
        <f>IF(PRENDAS!$B29="","",PRENDAS!$A29)</f>
        <v>27</v>
      </c>
      <c r="B64" s="21" t="str">
        <f>IF(PRENDAS!$B29="","",PRENDAS!$B29)</f>
        <v>TAPIA</v>
      </c>
      <c r="C64" s="21" t="str">
        <f>IF(PRENDAS!$B29="","",PRENDAS!$D29)</f>
        <v>Kit completo</v>
      </c>
      <c r="D64" s="30" t="str">
        <f>IF(PRENDAS!$B29="","",PRENDAS!$E29)</f>
        <v>L</v>
      </c>
      <c r="E64" s="30" t="str">
        <f>IF(PRENDAS!$B29="","",PRENDAS!$F29)</f>
        <v>23</v>
      </c>
      <c r="F64" s="21" t="str">
        <f>IF(PRENDAS!$B29="","",PRENDAS!$G29)</f>
        <v>Azul</v>
      </c>
      <c r="G64" s="21" t="str">
        <f>IF(PRENDAS!$B29="","",PRENDAS!$H29)</f>
        <v>Hombre</v>
      </c>
      <c r="H64" s="21" t="str">
        <f>IF(PRENDAS!$B29="","",PRENDAS!$I29)</f>
        <v>Recto</v>
      </c>
      <c r="I64" s="21" t="str">
        <f>IF(PRENDAS!$B29="","",PRENDAS!$J29)</f>
        <v>Redondo</v>
      </c>
      <c r="J64" s="21" t="str">
        <f>IF(PRENDAS!$B29="","",PRENDAS!$P29)</f>
        <v/>
      </c>
    </row>
    <row r="65" ht="15.0" customHeight="1">
      <c r="A65" s="30">
        <f>IF(PRENDAS!$B30="","",PRENDAS!$A30)</f>
        <v>28</v>
      </c>
      <c r="B65" s="21" t="str">
        <f>IF(PRENDAS!$B30="","",PRENDAS!$B30)</f>
        <v>CLINT</v>
      </c>
      <c r="C65" s="21" t="str">
        <f>IF(PRENDAS!$B30="","",PRENDAS!$D30)</f>
        <v>Camiseta sola</v>
      </c>
      <c r="D65" s="30" t="str">
        <f>IF(PRENDAS!$B30="","",PRENDAS!$E30)</f>
        <v>XL</v>
      </c>
      <c r="E65" s="30" t="str">
        <f>IF(PRENDAS!$B30="","",PRENDAS!$F30)</f>
        <v>69</v>
      </c>
      <c r="F65" s="21" t="str">
        <f>IF(PRENDAS!$B30="","",PRENDAS!$G30)</f>
        <v>Azul</v>
      </c>
      <c r="G65" s="21" t="str">
        <f>IF(PRENDAS!$B30="","",PRENDAS!$H30)</f>
        <v>Hombre</v>
      </c>
      <c r="H65" s="21" t="str">
        <f>IF(PRENDAS!$B30="","",PRENDAS!$I30)</f>
        <v>Recto</v>
      </c>
      <c r="I65" s="21" t="str">
        <f>IF(PRENDAS!$B30="","",PRENDAS!$J30)</f>
        <v>Redondo</v>
      </c>
      <c r="J65" s="21" t="str">
        <f>IF(PRENDAS!$B30="","",PRENDAS!$P30)</f>
        <v>Nombres de los hijos en las mangas; nombre de la esposa en el cuello delantero</v>
      </c>
    </row>
    <row r="66" ht="15.0" customHeight="1">
      <c r="A66" s="30" t="str">
        <f>IF(PRENDAS!$B31="","",PRENDAS!$A31)</f>
        <v/>
      </c>
      <c r="B66" s="21" t="str">
        <f>IF(PRENDAS!$B31="","",PRENDAS!$B31)</f>
        <v/>
      </c>
      <c r="C66" s="21" t="str">
        <f>IF(PRENDAS!$B31="","",PRENDAS!$D31)</f>
        <v/>
      </c>
      <c r="D66" s="30" t="str">
        <f>IF(PRENDAS!$B31="","",PRENDAS!$E31)</f>
        <v/>
      </c>
      <c r="E66" s="30" t="str">
        <f>IF(PRENDAS!$B31="","",PRENDAS!$F31)</f>
        <v/>
      </c>
      <c r="F66" s="21" t="str">
        <f>IF(PRENDAS!$B31="","",PRENDAS!$G31)</f>
        <v/>
      </c>
      <c r="G66" s="21" t="str">
        <f>IF(PRENDAS!$B31="","",PRENDAS!$H31)</f>
        <v/>
      </c>
      <c r="H66" s="21" t="str">
        <f>IF(PRENDAS!$B31="","",PRENDAS!$I31)</f>
        <v/>
      </c>
      <c r="I66" s="21" t="str">
        <f>IF(PRENDAS!$B31="","",PRENDAS!$J31)</f>
        <v/>
      </c>
      <c r="J66" s="21" t="str">
        <f>IF(PRENDAS!$B31="","",PRENDAS!$P31)</f>
        <v/>
      </c>
    </row>
    <row r="67" ht="15.0" customHeight="1">
      <c r="A67" s="30" t="str">
        <f>IF(PRENDAS!$B32="","",PRENDAS!$A32)</f>
        <v/>
      </c>
      <c r="B67" s="21" t="str">
        <f>IF(PRENDAS!$B32="","",PRENDAS!$B32)</f>
        <v/>
      </c>
      <c r="C67" s="21" t="str">
        <f>IF(PRENDAS!$B32="","",PRENDAS!$D32)</f>
        <v/>
      </c>
      <c r="D67" s="30" t="str">
        <f>IF(PRENDAS!$B32="","",PRENDAS!$E32)</f>
        <v/>
      </c>
      <c r="E67" s="30" t="str">
        <f>IF(PRENDAS!$B32="","",PRENDAS!$F32)</f>
        <v/>
      </c>
      <c r="F67" s="21" t="str">
        <f>IF(PRENDAS!$B32="","",PRENDAS!$G32)</f>
        <v/>
      </c>
      <c r="G67" s="21" t="str">
        <f>IF(PRENDAS!$B32="","",PRENDAS!$H32)</f>
        <v/>
      </c>
      <c r="H67" s="21" t="str">
        <f>IF(PRENDAS!$B32="","",PRENDAS!$I32)</f>
        <v/>
      </c>
      <c r="I67" s="21" t="str">
        <f>IF(PRENDAS!$B32="","",PRENDAS!$J32)</f>
        <v/>
      </c>
      <c r="J67" s="21" t="str">
        <f>IF(PRENDAS!$B32="","",PRENDAS!$P32)</f>
        <v/>
      </c>
    </row>
    <row r="68" ht="15.0" customHeight="1">
      <c r="A68" s="30" t="str">
        <f>IF(PRENDAS!$B33="","",PRENDAS!$A33)</f>
        <v/>
      </c>
      <c r="B68" s="21" t="str">
        <f>IF(PRENDAS!$B33="","",PRENDAS!$B33)</f>
        <v/>
      </c>
      <c r="C68" s="21" t="str">
        <f>IF(PRENDAS!$B33="","",PRENDAS!$D33)</f>
        <v/>
      </c>
      <c r="D68" s="30" t="str">
        <f>IF(PRENDAS!$B33="","",PRENDAS!$E33)</f>
        <v/>
      </c>
      <c r="E68" s="30" t="str">
        <f>IF(PRENDAS!$B33="","",PRENDAS!$F33)</f>
        <v/>
      </c>
      <c r="F68" s="21" t="str">
        <f>IF(PRENDAS!$B33="","",PRENDAS!$G33)</f>
        <v/>
      </c>
      <c r="G68" s="21" t="str">
        <f>IF(PRENDAS!$B33="","",PRENDAS!$H33)</f>
        <v/>
      </c>
      <c r="H68" s="21" t="str">
        <f>IF(PRENDAS!$B33="","",PRENDAS!$I33)</f>
        <v/>
      </c>
      <c r="I68" s="21" t="str">
        <f>IF(PRENDAS!$B33="","",PRENDAS!$J33)</f>
        <v/>
      </c>
      <c r="J68" s="21" t="str">
        <f>IF(PRENDAS!$B33="","",PRENDAS!$P33)</f>
        <v/>
      </c>
    </row>
    <row r="69" ht="15.0" customHeight="1">
      <c r="A69" s="30" t="str">
        <f>IF(PRENDAS!$B34="","",PRENDAS!$A34)</f>
        <v/>
      </c>
      <c r="B69" s="21" t="str">
        <f>IF(PRENDAS!$B34="","",PRENDAS!$B34)</f>
        <v/>
      </c>
      <c r="C69" s="21" t="str">
        <f>IF(PRENDAS!$B34="","",PRENDAS!$D34)</f>
        <v/>
      </c>
      <c r="D69" s="30" t="str">
        <f>IF(PRENDAS!$B34="","",PRENDAS!$E34)</f>
        <v/>
      </c>
      <c r="E69" s="30" t="str">
        <f>IF(PRENDAS!$B34="","",PRENDAS!$F34)</f>
        <v/>
      </c>
      <c r="F69" s="21" t="str">
        <f>IF(PRENDAS!$B34="","",PRENDAS!$G34)</f>
        <v/>
      </c>
      <c r="G69" s="21" t="str">
        <f>IF(PRENDAS!$B34="","",PRENDAS!$H34)</f>
        <v/>
      </c>
      <c r="H69" s="21" t="str">
        <f>IF(PRENDAS!$B34="","",PRENDAS!$I34)</f>
        <v/>
      </c>
      <c r="I69" s="21" t="str">
        <f>IF(PRENDAS!$B34="","",PRENDAS!$J34)</f>
        <v/>
      </c>
      <c r="J69" s="21" t="str">
        <f>IF(PRENDAS!$B34="","",PRENDAS!$P34)</f>
        <v/>
      </c>
    </row>
    <row r="70" ht="15.0" customHeight="1">
      <c r="A70" s="30" t="str">
        <f>IF(PRENDAS!$B35="","",PRENDAS!$A35)</f>
        <v/>
      </c>
      <c r="B70" s="21" t="str">
        <f>IF(PRENDAS!$B35="","",PRENDAS!$B35)</f>
        <v/>
      </c>
      <c r="C70" s="21" t="str">
        <f>IF(PRENDAS!$B35="","",PRENDAS!$D35)</f>
        <v/>
      </c>
      <c r="D70" s="30" t="str">
        <f>IF(PRENDAS!$B35="","",PRENDAS!$E35)</f>
        <v/>
      </c>
      <c r="E70" s="30" t="str">
        <f>IF(PRENDAS!$B35="","",PRENDAS!$F35)</f>
        <v/>
      </c>
      <c r="F70" s="21" t="str">
        <f>IF(PRENDAS!$B35="","",PRENDAS!$G35)</f>
        <v/>
      </c>
      <c r="G70" s="21" t="str">
        <f>IF(PRENDAS!$B35="","",PRENDAS!$H35)</f>
        <v/>
      </c>
      <c r="H70" s="21" t="str">
        <f>IF(PRENDAS!$B35="","",PRENDAS!$I35)</f>
        <v/>
      </c>
      <c r="I70" s="21" t="str">
        <f>IF(PRENDAS!$B35="","",PRENDAS!$J35)</f>
        <v/>
      </c>
      <c r="J70" s="21" t="str">
        <f>IF(PRENDAS!$B35="","",PRENDAS!$P35)</f>
        <v/>
      </c>
    </row>
    <row r="71" ht="15.0" customHeight="1">
      <c r="A71" s="30" t="str">
        <f>IF(PRENDAS!$B36="","",PRENDAS!$A36)</f>
        <v/>
      </c>
      <c r="B71" s="21" t="str">
        <f>IF(PRENDAS!$B36="","",PRENDAS!$B36)</f>
        <v/>
      </c>
      <c r="C71" s="21" t="str">
        <f>IF(PRENDAS!$B36="","",PRENDAS!$D36)</f>
        <v/>
      </c>
      <c r="D71" s="30" t="str">
        <f>IF(PRENDAS!$B36="","",PRENDAS!$E36)</f>
        <v/>
      </c>
      <c r="E71" s="30" t="str">
        <f>IF(PRENDAS!$B36="","",PRENDAS!$F36)</f>
        <v/>
      </c>
      <c r="F71" s="21" t="str">
        <f>IF(PRENDAS!$B36="","",PRENDAS!$G36)</f>
        <v/>
      </c>
      <c r="G71" s="21" t="str">
        <f>IF(PRENDAS!$B36="","",PRENDAS!$H36)</f>
        <v/>
      </c>
      <c r="H71" s="21" t="str">
        <f>IF(PRENDAS!$B36="","",PRENDAS!$I36)</f>
        <v/>
      </c>
      <c r="I71" s="21" t="str">
        <f>IF(PRENDAS!$B36="","",PRENDAS!$J36)</f>
        <v/>
      </c>
      <c r="J71" s="21" t="str">
        <f>IF(PRENDAS!$B36="","",PRENDAS!$P36)</f>
        <v/>
      </c>
    </row>
    <row r="72" ht="15.0" customHeight="1">
      <c r="A72" s="30" t="str">
        <f>IF(PRENDAS!$B37="","",PRENDAS!$A37)</f>
        <v/>
      </c>
      <c r="B72" s="21" t="str">
        <f>IF(PRENDAS!$B37="","",PRENDAS!$B37)</f>
        <v/>
      </c>
      <c r="C72" s="21" t="str">
        <f>IF(PRENDAS!$B37="","",PRENDAS!$D37)</f>
        <v/>
      </c>
      <c r="D72" s="30" t="str">
        <f>IF(PRENDAS!$B37="","",PRENDAS!$E37)</f>
        <v/>
      </c>
      <c r="E72" s="30" t="str">
        <f>IF(PRENDAS!$B37="","",PRENDAS!$F37)</f>
        <v/>
      </c>
      <c r="F72" s="21" t="str">
        <f>IF(PRENDAS!$B37="","",PRENDAS!$G37)</f>
        <v/>
      </c>
      <c r="G72" s="21" t="str">
        <f>IF(PRENDAS!$B37="","",PRENDAS!$H37)</f>
        <v/>
      </c>
      <c r="H72" s="21" t="str">
        <f>IF(PRENDAS!$B37="","",PRENDAS!$I37)</f>
        <v/>
      </c>
      <c r="I72" s="21" t="str">
        <f>IF(PRENDAS!$B37="","",PRENDAS!$J37)</f>
        <v/>
      </c>
      <c r="J72" s="21" t="str">
        <f>IF(PRENDAS!$B37="","",PRENDAS!$P37)</f>
        <v/>
      </c>
    </row>
    <row r="73" ht="15.0" customHeight="1">
      <c r="A73" s="30" t="str">
        <f>IF(PRENDAS!$B38="","",PRENDAS!$A38)</f>
        <v/>
      </c>
      <c r="B73" s="21" t="str">
        <f>IF(PRENDAS!$B38="","",PRENDAS!$B38)</f>
        <v/>
      </c>
      <c r="C73" s="21" t="str">
        <f>IF(PRENDAS!$B38="","",PRENDAS!$D38)</f>
        <v/>
      </c>
      <c r="D73" s="30" t="str">
        <f>IF(PRENDAS!$B38="","",PRENDAS!$E38)</f>
        <v/>
      </c>
      <c r="E73" s="30" t="str">
        <f>IF(PRENDAS!$B38="","",PRENDAS!$F38)</f>
        <v/>
      </c>
      <c r="F73" s="21" t="str">
        <f>IF(PRENDAS!$B38="","",PRENDAS!$G38)</f>
        <v/>
      </c>
      <c r="G73" s="21" t="str">
        <f>IF(PRENDAS!$B38="","",PRENDAS!$H38)</f>
        <v/>
      </c>
      <c r="H73" s="21" t="str">
        <f>IF(PRENDAS!$B38="","",PRENDAS!$I38)</f>
        <v/>
      </c>
      <c r="I73" s="21" t="str">
        <f>IF(PRENDAS!$B38="","",PRENDAS!$J38)</f>
        <v/>
      </c>
      <c r="J73" s="21" t="str">
        <f>IF(PRENDAS!$B38="","",PRENDAS!$P38)</f>
        <v/>
      </c>
    </row>
    <row r="74" ht="15.0" customHeight="1">
      <c r="A74" s="30" t="str">
        <f>IF(PRENDAS!$B39="","",PRENDAS!$A39)</f>
        <v/>
      </c>
      <c r="B74" s="21" t="str">
        <f>IF(PRENDAS!$B39="","",PRENDAS!$B39)</f>
        <v/>
      </c>
      <c r="C74" s="21" t="str">
        <f>IF(PRENDAS!$B39="","",PRENDAS!$D39)</f>
        <v/>
      </c>
      <c r="D74" s="30" t="str">
        <f>IF(PRENDAS!$B39="","",PRENDAS!$E39)</f>
        <v/>
      </c>
      <c r="E74" s="30" t="str">
        <f>IF(PRENDAS!$B39="","",PRENDAS!$F39)</f>
        <v/>
      </c>
      <c r="F74" s="21" t="str">
        <f>IF(PRENDAS!$B39="","",PRENDAS!$G39)</f>
        <v/>
      </c>
      <c r="G74" s="21" t="str">
        <f>IF(PRENDAS!$B39="","",PRENDAS!$H39)</f>
        <v/>
      </c>
      <c r="H74" s="21" t="str">
        <f>IF(PRENDAS!$B39="","",PRENDAS!$I39)</f>
        <v/>
      </c>
      <c r="I74" s="21" t="str">
        <f>IF(PRENDAS!$B39="","",PRENDAS!$J39)</f>
        <v/>
      </c>
      <c r="J74" s="21" t="str">
        <f>IF(PRENDAS!$B39="","",PRENDAS!$P39)</f>
        <v/>
      </c>
    </row>
    <row r="75" ht="15.0" customHeight="1">
      <c r="A75" s="30" t="str">
        <f>IF(PRENDAS!$B40="","",PRENDAS!$A40)</f>
        <v/>
      </c>
      <c r="B75" s="21" t="str">
        <f>IF(PRENDAS!$B40="","",PRENDAS!$B40)</f>
        <v/>
      </c>
      <c r="C75" s="21" t="str">
        <f>IF(PRENDAS!$B40="","",PRENDAS!$D40)</f>
        <v/>
      </c>
      <c r="D75" s="30" t="str">
        <f>IF(PRENDAS!$B40="","",PRENDAS!$E40)</f>
        <v/>
      </c>
      <c r="E75" s="30" t="str">
        <f>IF(PRENDAS!$B40="","",PRENDAS!$F40)</f>
        <v/>
      </c>
      <c r="F75" s="21" t="str">
        <f>IF(PRENDAS!$B40="","",PRENDAS!$G40)</f>
        <v/>
      </c>
      <c r="G75" s="21" t="str">
        <f>IF(PRENDAS!$B40="","",PRENDAS!$H40)</f>
        <v/>
      </c>
      <c r="H75" s="21" t="str">
        <f>IF(PRENDAS!$B40="","",PRENDAS!$I40)</f>
        <v/>
      </c>
      <c r="I75" s="21" t="str">
        <f>IF(PRENDAS!$B40="","",PRENDAS!$J40)</f>
        <v/>
      </c>
      <c r="J75" s="21" t="str">
        <f>IF(PRENDAS!$B40="","",PRENDAS!$P40)</f>
        <v/>
      </c>
    </row>
    <row r="76" ht="15.0" customHeight="1">
      <c r="A76" s="30" t="str">
        <f>IF(PRENDAS!$B41="","",PRENDAS!$A41)</f>
        <v/>
      </c>
      <c r="B76" s="21" t="str">
        <f>IF(PRENDAS!$B41="","",PRENDAS!$B41)</f>
        <v/>
      </c>
      <c r="C76" s="21" t="str">
        <f>IF(PRENDAS!$B41="","",PRENDAS!$D41)</f>
        <v/>
      </c>
      <c r="D76" s="30" t="str">
        <f>IF(PRENDAS!$B41="","",PRENDAS!$E41)</f>
        <v/>
      </c>
      <c r="E76" s="30" t="str">
        <f>IF(PRENDAS!$B41="","",PRENDAS!$F41)</f>
        <v/>
      </c>
      <c r="F76" s="21" t="str">
        <f>IF(PRENDAS!$B41="","",PRENDAS!$G41)</f>
        <v/>
      </c>
      <c r="G76" s="21" t="str">
        <f>IF(PRENDAS!$B41="","",PRENDAS!$H41)</f>
        <v/>
      </c>
      <c r="H76" s="21" t="str">
        <f>IF(PRENDAS!$B41="","",PRENDAS!$I41)</f>
        <v/>
      </c>
      <c r="I76" s="21" t="str">
        <f>IF(PRENDAS!$B41="","",PRENDAS!$J41)</f>
        <v/>
      </c>
      <c r="J76" s="21" t="str">
        <f>IF(PRENDAS!$B41="","",PRENDAS!$P41)</f>
        <v/>
      </c>
    </row>
    <row r="77" ht="15.0" customHeight="1">
      <c r="A77" s="30" t="str">
        <f>IF(PRENDAS!$B42="","",PRENDAS!$A42)</f>
        <v/>
      </c>
      <c r="B77" s="21" t="str">
        <f>IF(PRENDAS!$B42="","",PRENDAS!$B42)</f>
        <v/>
      </c>
      <c r="C77" s="21" t="str">
        <f>IF(PRENDAS!$B42="","",PRENDAS!$D42)</f>
        <v/>
      </c>
      <c r="D77" s="30" t="str">
        <f>IF(PRENDAS!$B42="","",PRENDAS!$E42)</f>
        <v/>
      </c>
      <c r="E77" s="30" t="str">
        <f>IF(PRENDAS!$B42="","",PRENDAS!$F42)</f>
        <v/>
      </c>
      <c r="F77" s="21" t="str">
        <f>IF(PRENDAS!$B42="","",PRENDAS!$G42)</f>
        <v/>
      </c>
      <c r="G77" s="21" t="str">
        <f>IF(PRENDAS!$B42="","",PRENDAS!$H42)</f>
        <v/>
      </c>
      <c r="H77" s="21" t="str">
        <f>IF(PRENDAS!$B42="","",PRENDAS!$I42)</f>
        <v/>
      </c>
      <c r="I77" s="21" t="str">
        <f>IF(PRENDAS!$B42="","",PRENDAS!$J42)</f>
        <v/>
      </c>
      <c r="J77" s="21" t="str">
        <f>IF(PRENDAS!$B42="","",PRENDAS!$P42)</f>
        <v/>
      </c>
    </row>
    <row r="78" ht="15.0" customHeight="1">
      <c r="A78" s="30" t="str">
        <f>IF(PRENDAS!$B43="","",PRENDAS!$A43)</f>
        <v/>
      </c>
      <c r="B78" s="21" t="str">
        <f>IF(PRENDAS!$B43="","",PRENDAS!$B43)</f>
        <v/>
      </c>
      <c r="C78" s="21" t="str">
        <f>IF(PRENDAS!$B43="","",PRENDAS!$D43)</f>
        <v/>
      </c>
      <c r="D78" s="30" t="str">
        <f>IF(PRENDAS!$B43="","",PRENDAS!$E43)</f>
        <v/>
      </c>
      <c r="E78" s="30" t="str">
        <f>IF(PRENDAS!$B43="","",PRENDAS!$F43)</f>
        <v/>
      </c>
      <c r="F78" s="21" t="str">
        <f>IF(PRENDAS!$B43="","",PRENDAS!$G43)</f>
        <v/>
      </c>
      <c r="G78" s="21" t="str">
        <f>IF(PRENDAS!$B43="","",PRENDAS!$H43)</f>
        <v/>
      </c>
      <c r="H78" s="21" t="str">
        <f>IF(PRENDAS!$B43="","",PRENDAS!$I43)</f>
        <v/>
      </c>
      <c r="I78" s="21" t="str">
        <f>IF(PRENDAS!$B43="","",PRENDAS!$J43)</f>
        <v/>
      </c>
      <c r="J78" s="21" t="str">
        <f>IF(PRENDAS!$B43="","",PRENDAS!$P43)</f>
        <v/>
      </c>
    </row>
    <row r="79" ht="15.0" customHeight="1">
      <c r="A79" s="30" t="str">
        <f>IF(PRENDAS!$B44="","",PRENDAS!$A44)</f>
        <v/>
      </c>
      <c r="B79" s="21" t="str">
        <f>IF(PRENDAS!$B44="","",PRENDAS!$B44)</f>
        <v/>
      </c>
      <c r="C79" s="21" t="str">
        <f>IF(PRENDAS!$B44="","",PRENDAS!$D44)</f>
        <v/>
      </c>
      <c r="D79" s="30" t="str">
        <f>IF(PRENDAS!$B44="","",PRENDAS!$E44)</f>
        <v/>
      </c>
      <c r="E79" s="30" t="str">
        <f>IF(PRENDAS!$B44="","",PRENDAS!$F44)</f>
        <v/>
      </c>
      <c r="F79" s="21" t="str">
        <f>IF(PRENDAS!$B44="","",PRENDAS!$G44)</f>
        <v/>
      </c>
      <c r="G79" s="21" t="str">
        <f>IF(PRENDAS!$B44="","",PRENDAS!$H44)</f>
        <v/>
      </c>
      <c r="H79" s="21" t="str">
        <f>IF(PRENDAS!$B44="","",PRENDAS!$I44)</f>
        <v/>
      </c>
      <c r="I79" s="21" t="str">
        <f>IF(PRENDAS!$B44="","",PRENDAS!$J44)</f>
        <v/>
      </c>
      <c r="J79" s="21" t="str">
        <f>IF(PRENDAS!$B44="","",PRENDAS!$P44)</f>
        <v/>
      </c>
    </row>
    <row r="80" ht="15.0" customHeight="1">
      <c r="A80" s="30" t="str">
        <f>IF(PRENDAS!$B45="","",PRENDAS!$A45)</f>
        <v/>
      </c>
      <c r="B80" s="21" t="str">
        <f>IF(PRENDAS!$B45="","",PRENDAS!$B45)</f>
        <v/>
      </c>
      <c r="C80" s="21" t="str">
        <f>IF(PRENDAS!$B45="","",PRENDAS!$D45)</f>
        <v/>
      </c>
      <c r="D80" s="30" t="str">
        <f>IF(PRENDAS!$B45="","",PRENDAS!$E45)</f>
        <v/>
      </c>
      <c r="E80" s="30" t="str">
        <f>IF(PRENDAS!$B45="","",PRENDAS!$F45)</f>
        <v/>
      </c>
      <c r="F80" s="21" t="str">
        <f>IF(PRENDAS!$B45="","",PRENDAS!$G45)</f>
        <v/>
      </c>
      <c r="G80" s="21" t="str">
        <f>IF(PRENDAS!$B45="","",PRENDAS!$H45)</f>
        <v/>
      </c>
      <c r="H80" s="21" t="str">
        <f>IF(PRENDAS!$B45="","",PRENDAS!$I45)</f>
        <v/>
      </c>
      <c r="I80" s="21" t="str">
        <f>IF(PRENDAS!$B45="","",PRENDAS!$J45)</f>
        <v/>
      </c>
      <c r="J80" s="21" t="str">
        <f>IF(PRENDAS!$B45="","",PRENDAS!$P45)</f>
        <v/>
      </c>
    </row>
    <row r="81" ht="15.0" customHeight="1">
      <c r="A81" s="30" t="str">
        <f>IF(PRENDAS!$B46="","",PRENDAS!$A46)</f>
        <v/>
      </c>
      <c r="B81" s="21" t="str">
        <f>IF(PRENDAS!$B46="","",PRENDAS!$B46)</f>
        <v/>
      </c>
      <c r="C81" s="21" t="str">
        <f>IF(PRENDAS!$B46="","",PRENDAS!$D46)</f>
        <v/>
      </c>
      <c r="D81" s="30" t="str">
        <f>IF(PRENDAS!$B46="","",PRENDAS!$E46)</f>
        <v/>
      </c>
      <c r="E81" s="30" t="str">
        <f>IF(PRENDAS!$B46="","",PRENDAS!$F46)</f>
        <v/>
      </c>
      <c r="F81" s="21" t="str">
        <f>IF(PRENDAS!$B46="","",PRENDAS!$G46)</f>
        <v/>
      </c>
      <c r="G81" s="21" t="str">
        <f>IF(PRENDAS!$B46="","",PRENDAS!$H46)</f>
        <v/>
      </c>
      <c r="H81" s="21" t="str">
        <f>IF(PRENDAS!$B46="","",PRENDAS!$I46)</f>
        <v/>
      </c>
      <c r="I81" s="21" t="str">
        <f>IF(PRENDAS!$B46="","",PRENDAS!$J46)</f>
        <v/>
      </c>
      <c r="J81" s="21" t="str">
        <f>IF(PRENDAS!$B46="","",PRENDAS!$P46)</f>
        <v/>
      </c>
    </row>
    <row r="82" ht="15.0" customHeight="1">
      <c r="A82" s="30" t="str">
        <f>IF(PRENDAS!$B47="","",PRENDAS!$A47)</f>
        <v/>
      </c>
      <c r="B82" s="21" t="str">
        <f>IF(PRENDAS!$B47="","",PRENDAS!$B47)</f>
        <v/>
      </c>
      <c r="C82" s="21" t="str">
        <f>IF(PRENDAS!$B47="","",PRENDAS!$D47)</f>
        <v/>
      </c>
      <c r="D82" s="30" t="str">
        <f>IF(PRENDAS!$B47="","",PRENDAS!$E47)</f>
        <v/>
      </c>
      <c r="E82" s="30" t="str">
        <f>IF(PRENDAS!$B47="","",PRENDAS!$F47)</f>
        <v/>
      </c>
      <c r="F82" s="21" t="str">
        <f>IF(PRENDAS!$B47="","",PRENDAS!$G47)</f>
        <v/>
      </c>
      <c r="G82" s="21" t="str">
        <f>IF(PRENDAS!$B47="","",PRENDAS!$H47)</f>
        <v/>
      </c>
      <c r="H82" s="21" t="str">
        <f>IF(PRENDAS!$B47="","",PRENDAS!$I47)</f>
        <v/>
      </c>
      <c r="I82" s="21" t="str">
        <f>IF(PRENDAS!$B47="","",PRENDAS!$J47)</f>
        <v/>
      </c>
      <c r="J82" s="21" t="str">
        <f>IF(PRENDAS!$B47="","",PRENDAS!$P47)</f>
        <v/>
      </c>
    </row>
    <row r="83" ht="15.0" customHeight="1">
      <c r="A83" s="30" t="str">
        <f>IF(PRENDAS!$B48="","",PRENDAS!$A48)</f>
        <v/>
      </c>
      <c r="B83" s="21" t="str">
        <f>IF(PRENDAS!$B48="","",PRENDAS!$B48)</f>
        <v/>
      </c>
      <c r="C83" s="21" t="str">
        <f>IF(PRENDAS!$B48="","",PRENDAS!$D48)</f>
        <v/>
      </c>
      <c r="D83" s="30" t="str">
        <f>IF(PRENDAS!$B48="","",PRENDAS!$E48)</f>
        <v/>
      </c>
      <c r="E83" s="30" t="str">
        <f>IF(PRENDAS!$B48="","",PRENDAS!$F48)</f>
        <v/>
      </c>
      <c r="F83" s="21" t="str">
        <f>IF(PRENDAS!$B48="","",PRENDAS!$G48)</f>
        <v/>
      </c>
      <c r="G83" s="21" t="str">
        <f>IF(PRENDAS!$B48="","",PRENDAS!$H48)</f>
        <v/>
      </c>
      <c r="H83" s="21" t="str">
        <f>IF(PRENDAS!$B48="","",PRENDAS!$I48)</f>
        <v/>
      </c>
      <c r="I83" s="21" t="str">
        <f>IF(PRENDAS!$B48="","",PRENDAS!$J48)</f>
        <v/>
      </c>
      <c r="J83" s="21" t="str">
        <f>IF(PRENDAS!$B48="","",PRENDAS!$P48)</f>
        <v/>
      </c>
    </row>
    <row r="84" ht="15.0" customHeight="1">
      <c r="A84" s="30" t="str">
        <f>IF(PRENDAS!$B49="","",PRENDAS!$A49)</f>
        <v/>
      </c>
      <c r="B84" s="21" t="str">
        <f>IF(PRENDAS!$B49="","",PRENDAS!$B49)</f>
        <v/>
      </c>
      <c r="C84" s="21" t="str">
        <f>IF(PRENDAS!$B49="","",PRENDAS!$D49)</f>
        <v/>
      </c>
      <c r="D84" s="30" t="str">
        <f>IF(PRENDAS!$B49="","",PRENDAS!$E49)</f>
        <v/>
      </c>
      <c r="E84" s="30" t="str">
        <f>IF(PRENDAS!$B49="","",PRENDAS!$F49)</f>
        <v/>
      </c>
      <c r="F84" s="21" t="str">
        <f>IF(PRENDAS!$B49="","",PRENDAS!$G49)</f>
        <v/>
      </c>
      <c r="G84" s="21" t="str">
        <f>IF(PRENDAS!$B49="","",PRENDAS!$H49)</f>
        <v/>
      </c>
      <c r="H84" s="21" t="str">
        <f>IF(PRENDAS!$B49="","",PRENDAS!$I49)</f>
        <v/>
      </c>
      <c r="I84" s="21" t="str">
        <f>IF(PRENDAS!$B49="","",PRENDAS!$J49)</f>
        <v/>
      </c>
      <c r="J84" s="21" t="str">
        <f>IF(PRENDAS!$B49="","",PRENDAS!$P49)</f>
        <v/>
      </c>
    </row>
    <row r="85" ht="15.0" customHeight="1">
      <c r="A85" s="30" t="str">
        <f>IF(PRENDAS!$B50="","",PRENDAS!$A50)</f>
        <v/>
      </c>
      <c r="B85" s="21" t="str">
        <f>IF(PRENDAS!$B50="","",PRENDAS!$B50)</f>
        <v/>
      </c>
      <c r="C85" s="21" t="str">
        <f>IF(PRENDAS!$B50="","",PRENDAS!$D50)</f>
        <v/>
      </c>
      <c r="D85" s="30" t="str">
        <f>IF(PRENDAS!$B50="","",PRENDAS!$E50)</f>
        <v/>
      </c>
      <c r="E85" s="30" t="str">
        <f>IF(PRENDAS!$B50="","",PRENDAS!$F50)</f>
        <v/>
      </c>
      <c r="F85" s="21" t="str">
        <f>IF(PRENDAS!$B50="","",PRENDAS!$G50)</f>
        <v/>
      </c>
      <c r="G85" s="21" t="str">
        <f>IF(PRENDAS!$B50="","",PRENDAS!$H50)</f>
        <v/>
      </c>
      <c r="H85" s="21" t="str">
        <f>IF(PRENDAS!$B50="","",PRENDAS!$I50)</f>
        <v/>
      </c>
      <c r="I85" s="21" t="str">
        <f>IF(PRENDAS!$B50="","",PRENDAS!$J50)</f>
        <v/>
      </c>
      <c r="J85" s="21" t="str">
        <f>IF(PRENDAS!$B50="","",PRENDAS!$P50)</f>
        <v/>
      </c>
    </row>
    <row r="86" ht="15.0" customHeight="1">
      <c r="A86" s="30" t="str">
        <f>IF(PRENDAS!$B51="","",PRENDAS!$A51)</f>
        <v/>
      </c>
      <c r="B86" s="21" t="str">
        <f>IF(PRENDAS!$B51="","",PRENDAS!$B51)</f>
        <v/>
      </c>
      <c r="C86" s="21" t="str">
        <f>IF(PRENDAS!$B51="","",PRENDAS!$D51)</f>
        <v/>
      </c>
      <c r="D86" s="30" t="str">
        <f>IF(PRENDAS!$B51="","",PRENDAS!$E51)</f>
        <v/>
      </c>
      <c r="E86" s="30" t="str">
        <f>IF(PRENDAS!$B51="","",PRENDAS!$F51)</f>
        <v/>
      </c>
      <c r="F86" s="21" t="str">
        <f>IF(PRENDAS!$B51="","",PRENDAS!$G51)</f>
        <v/>
      </c>
      <c r="G86" s="21" t="str">
        <f>IF(PRENDAS!$B51="","",PRENDAS!$H51)</f>
        <v/>
      </c>
      <c r="H86" s="21" t="str">
        <f>IF(PRENDAS!$B51="","",PRENDAS!$I51)</f>
        <v/>
      </c>
      <c r="I86" s="21" t="str">
        <f>IF(PRENDAS!$B51="","",PRENDAS!$J51)</f>
        <v/>
      </c>
      <c r="J86" s="21" t="str">
        <f>IF(PRENDAS!$B51="","",PRENDAS!$P51)</f>
        <v/>
      </c>
    </row>
    <row r="87" ht="15.0" customHeight="1">
      <c r="A87" s="30" t="str">
        <f>IF(PRENDAS!$B52="","",PRENDAS!$A52)</f>
        <v/>
      </c>
      <c r="B87" s="21" t="str">
        <f>IF(PRENDAS!$B52="","",PRENDAS!$B52)</f>
        <v/>
      </c>
      <c r="C87" s="21" t="str">
        <f>IF(PRENDAS!$B52="","",PRENDAS!$D52)</f>
        <v/>
      </c>
      <c r="D87" s="30" t="str">
        <f>IF(PRENDAS!$B52="","",PRENDAS!$E52)</f>
        <v/>
      </c>
      <c r="E87" s="30" t="str">
        <f>IF(PRENDAS!$B52="","",PRENDAS!$F52)</f>
        <v/>
      </c>
      <c r="F87" s="21" t="str">
        <f>IF(PRENDAS!$B52="","",PRENDAS!$G52)</f>
        <v/>
      </c>
      <c r="G87" s="21" t="str">
        <f>IF(PRENDAS!$B52="","",PRENDAS!$H52)</f>
        <v/>
      </c>
      <c r="H87" s="21" t="str">
        <f>IF(PRENDAS!$B52="","",PRENDAS!$I52)</f>
        <v/>
      </c>
      <c r="I87" s="21" t="str">
        <f>IF(PRENDAS!$B52="","",PRENDAS!$J52)</f>
        <v/>
      </c>
      <c r="J87" s="21" t="str">
        <f>IF(PRENDAS!$B52="","",PRENDAS!$P52)</f>
        <v/>
      </c>
    </row>
    <row r="88" ht="15.0" customHeight="1">
      <c r="A88" s="30" t="str">
        <f>IF(PRENDAS!$B53="","",PRENDAS!$A53)</f>
        <v/>
      </c>
      <c r="B88" s="21" t="str">
        <f>IF(PRENDAS!$B53="","",PRENDAS!$B53)</f>
        <v/>
      </c>
      <c r="C88" s="21" t="str">
        <f>IF(PRENDAS!$B53="","",PRENDAS!$D53)</f>
        <v/>
      </c>
      <c r="D88" s="30" t="str">
        <f>IF(PRENDAS!$B53="","",PRENDAS!$E53)</f>
        <v/>
      </c>
      <c r="E88" s="30" t="str">
        <f>IF(PRENDAS!$B53="","",PRENDAS!$F53)</f>
        <v/>
      </c>
      <c r="F88" s="21" t="str">
        <f>IF(PRENDAS!$B53="","",PRENDAS!$G53)</f>
        <v/>
      </c>
      <c r="G88" s="21" t="str">
        <f>IF(PRENDAS!$B53="","",PRENDAS!$H53)</f>
        <v/>
      </c>
      <c r="H88" s="21" t="str">
        <f>IF(PRENDAS!$B53="","",PRENDAS!$I53)</f>
        <v/>
      </c>
      <c r="I88" s="21" t="str">
        <f>IF(PRENDAS!$B53="","",PRENDAS!$J53)</f>
        <v/>
      </c>
      <c r="J88" s="21" t="str">
        <f>IF(PRENDAS!$B53="","",PRENDAS!$P53)</f>
        <v/>
      </c>
    </row>
    <row r="89" ht="15.0" customHeight="1">
      <c r="A89" s="30" t="str">
        <f>IF(PRENDAS!$B54="","",PRENDAS!$A54)</f>
        <v/>
      </c>
      <c r="B89" s="21" t="str">
        <f>IF(PRENDAS!$B54="","",PRENDAS!$B54)</f>
        <v/>
      </c>
      <c r="C89" s="21" t="str">
        <f>IF(PRENDAS!$B54="","",PRENDAS!$D54)</f>
        <v/>
      </c>
      <c r="D89" s="30" t="str">
        <f>IF(PRENDAS!$B54="","",PRENDAS!$E54)</f>
        <v/>
      </c>
      <c r="E89" s="30" t="str">
        <f>IF(PRENDAS!$B54="","",PRENDAS!$F54)</f>
        <v/>
      </c>
      <c r="F89" s="21" t="str">
        <f>IF(PRENDAS!$B54="","",PRENDAS!$G54)</f>
        <v/>
      </c>
      <c r="G89" s="21" t="str">
        <f>IF(PRENDAS!$B54="","",PRENDAS!$H54)</f>
        <v/>
      </c>
      <c r="H89" s="21" t="str">
        <f>IF(PRENDAS!$B54="","",PRENDAS!$I54)</f>
        <v/>
      </c>
      <c r="I89" s="21" t="str">
        <f>IF(PRENDAS!$B54="","",PRENDAS!$J54)</f>
        <v/>
      </c>
      <c r="J89" s="21" t="str">
        <f>IF(PRENDAS!$B54="","",PRENDAS!$P54)</f>
        <v/>
      </c>
    </row>
    <row r="90" ht="15.0" customHeight="1">
      <c r="A90" s="30" t="str">
        <f>IF(PRENDAS!$B55="","",PRENDAS!$A55)</f>
        <v/>
      </c>
      <c r="B90" s="21" t="str">
        <f>IF(PRENDAS!$B55="","",PRENDAS!$B55)</f>
        <v/>
      </c>
      <c r="C90" s="21" t="str">
        <f>IF(PRENDAS!$B55="","",PRENDAS!$D55)</f>
        <v/>
      </c>
      <c r="D90" s="30" t="str">
        <f>IF(PRENDAS!$B55="","",PRENDAS!$E55)</f>
        <v/>
      </c>
      <c r="E90" s="30" t="str">
        <f>IF(PRENDAS!$B55="","",PRENDAS!$F55)</f>
        <v/>
      </c>
      <c r="F90" s="21" t="str">
        <f>IF(PRENDAS!$B55="","",PRENDAS!$G55)</f>
        <v/>
      </c>
      <c r="G90" s="21" t="str">
        <f>IF(PRENDAS!$B55="","",PRENDAS!$H55)</f>
        <v/>
      </c>
      <c r="H90" s="21" t="str">
        <f>IF(PRENDAS!$B55="","",PRENDAS!$I55)</f>
        <v/>
      </c>
      <c r="I90" s="21" t="str">
        <f>IF(PRENDAS!$B55="","",PRENDAS!$J55)</f>
        <v/>
      </c>
      <c r="J90" s="21" t="str">
        <f>IF(PRENDAS!$B55="","",PRENDAS!$P55)</f>
        <v/>
      </c>
    </row>
    <row r="91" ht="15.0" customHeight="1">
      <c r="A91" s="30" t="str">
        <f>IF(PRENDAS!$B56="","",PRENDAS!$A56)</f>
        <v/>
      </c>
      <c r="B91" s="21" t="str">
        <f>IF(PRENDAS!$B56="","",PRENDAS!$B56)</f>
        <v/>
      </c>
      <c r="C91" s="21" t="str">
        <f>IF(PRENDAS!$B56="","",PRENDAS!$D56)</f>
        <v/>
      </c>
      <c r="D91" s="30" t="str">
        <f>IF(PRENDAS!$B56="","",PRENDAS!$E56)</f>
        <v/>
      </c>
      <c r="E91" s="30" t="str">
        <f>IF(PRENDAS!$B56="","",PRENDAS!$F56)</f>
        <v/>
      </c>
      <c r="F91" s="21" t="str">
        <f>IF(PRENDAS!$B56="","",PRENDAS!$G56)</f>
        <v/>
      </c>
      <c r="G91" s="21" t="str">
        <f>IF(PRENDAS!$B56="","",PRENDAS!$H56)</f>
        <v/>
      </c>
      <c r="H91" s="21" t="str">
        <f>IF(PRENDAS!$B56="","",PRENDAS!$I56)</f>
        <v/>
      </c>
      <c r="I91" s="21" t="str">
        <f>IF(PRENDAS!$B56="","",PRENDAS!$J56)</f>
        <v/>
      </c>
      <c r="J91" s="21" t="str">
        <f>IF(PRENDAS!$B56="","",PRENDAS!$P56)</f>
        <v/>
      </c>
    </row>
    <row r="92" ht="15.0" customHeight="1">
      <c r="A92" s="30" t="str">
        <f>IF(PRENDAS!$B57="","",PRENDAS!$A57)</f>
        <v/>
      </c>
      <c r="B92" s="21" t="str">
        <f>IF(PRENDAS!$B57="","",PRENDAS!$B57)</f>
        <v/>
      </c>
      <c r="C92" s="21" t="str">
        <f>IF(PRENDAS!$B57="","",PRENDAS!$D57)</f>
        <v/>
      </c>
      <c r="D92" s="30" t="str">
        <f>IF(PRENDAS!$B57="","",PRENDAS!$E57)</f>
        <v/>
      </c>
      <c r="E92" s="30" t="str">
        <f>IF(PRENDAS!$B57="","",PRENDAS!$F57)</f>
        <v/>
      </c>
      <c r="F92" s="21" t="str">
        <f>IF(PRENDAS!$B57="","",PRENDAS!$G57)</f>
        <v/>
      </c>
      <c r="G92" s="21" t="str">
        <f>IF(PRENDAS!$B57="","",PRENDAS!$H57)</f>
        <v/>
      </c>
      <c r="H92" s="21" t="str">
        <f>IF(PRENDAS!$B57="","",PRENDAS!$I57)</f>
        <v/>
      </c>
      <c r="I92" s="21" t="str">
        <f>IF(PRENDAS!$B57="","",PRENDAS!$J57)</f>
        <v/>
      </c>
      <c r="J92" s="21" t="str">
        <f>IF(PRENDAS!$B57="","",PRENDAS!$P57)</f>
        <v/>
      </c>
    </row>
    <row r="93" ht="15.0" customHeight="1">
      <c r="A93" s="30" t="str">
        <f>IF(PRENDAS!$B58="","",PRENDAS!$A58)</f>
        <v/>
      </c>
      <c r="B93" s="21" t="str">
        <f>IF(PRENDAS!$B58="","",PRENDAS!$B58)</f>
        <v/>
      </c>
      <c r="C93" s="21" t="str">
        <f>IF(PRENDAS!$B58="","",PRENDAS!$D58)</f>
        <v/>
      </c>
      <c r="D93" s="30" t="str">
        <f>IF(PRENDAS!$B58="","",PRENDAS!$E58)</f>
        <v/>
      </c>
      <c r="E93" s="30" t="str">
        <f>IF(PRENDAS!$B58="","",PRENDAS!$F58)</f>
        <v/>
      </c>
      <c r="F93" s="21" t="str">
        <f>IF(PRENDAS!$B58="","",PRENDAS!$G58)</f>
        <v/>
      </c>
      <c r="G93" s="21" t="str">
        <f>IF(PRENDAS!$B58="","",PRENDAS!$H58)</f>
        <v/>
      </c>
      <c r="H93" s="21" t="str">
        <f>IF(PRENDAS!$B58="","",PRENDAS!$I58)</f>
        <v/>
      </c>
      <c r="I93" s="21" t="str">
        <f>IF(PRENDAS!$B58="","",PRENDAS!$J58)</f>
        <v/>
      </c>
      <c r="J93" s="21" t="str">
        <f>IF(PRENDAS!$B58="","",PRENDAS!$P58)</f>
        <v/>
      </c>
    </row>
    <row r="94" ht="15.0" customHeight="1">
      <c r="A94" s="30" t="str">
        <f>IF(PRENDAS!$B59="","",PRENDAS!$A59)</f>
        <v/>
      </c>
      <c r="B94" s="21" t="str">
        <f>IF(PRENDAS!$B59="","",PRENDAS!$B59)</f>
        <v/>
      </c>
      <c r="C94" s="21" t="str">
        <f>IF(PRENDAS!$B59="","",PRENDAS!$D59)</f>
        <v/>
      </c>
      <c r="D94" s="30" t="str">
        <f>IF(PRENDAS!$B59="","",PRENDAS!$E59)</f>
        <v/>
      </c>
      <c r="E94" s="30" t="str">
        <f>IF(PRENDAS!$B59="","",PRENDAS!$F59)</f>
        <v/>
      </c>
      <c r="F94" s="21" t="str">
        <f>IF(PRENDAS!$B59="","",PRENDAS!$G59)</f>
        <v/>
      </c>
      <c r="G94" s="21" t="str">
        <f>IF(PRENDAS!$B59="","",PRENDAS!$H59)</f>
        <v/>
      </c>
      <c r="H94" s="21" t="str">
        <f>IF(PRENDAS!$B59="","",PRENDAS!$I59)</f>
        <v/>
      </c>
      <c r="I94" s="21" t="str">
        <f>IF(PRENDAS!$B59="","",PRENDAS!$J59)</f>
        <v/>
      </c>
      <c r="J94" s="21" t="str">
        <f>IF(PRENDAS!$B59="","",PRENDAS!$P59)</f>
        <v/>
      </c>
    </row>
    <row r="95" ht="15.0" customHeight="1">
      <c r="A95" s="30" t="str">
        <f>IF(PRENDAS!$B60="","",PRENDAS!$A60)</f>
        <v/>
      </c>
      <c r="B95" s="21" t="str">
        <f>IF(PRENDAS!$B60="","",PRENDAS!$B60)</f>
        <v/>
      </c>
      <c r="C95" s="21" t="str">
        <f>IF(PRENDAS!$B60="","",PRENDAS!$D60)</f>
        <v/>
      </c>
      <c r="D95" s="30" t="str">
        <f>IF(PRENDAS!$B60="","",PRENDAS!$E60)</f>
        <v/>
      </c>
      <c r="E95" s="30" t="str">
        <f>IF(PRENDAS!$B60="","",PRENDAS!$F60)</f>
        <v/>
      </c>
      <c r="F95" s="21" t="str">
        <f>IF(PRENDAS!$B60="","",PRENDAS!$G60)</f>
        <v/>
      </c>
      <c r="G95" s="21" t="str">
        <f>IF(PRENDAS!$B60="","",PRENDAS!$H60)</f>
        <v/>
      </c>
      <c r="H95" s="21" t="str">
        <f>IF(PRENDAS!$B60="","",PRENDAS!$I60)</f>
        <v/>
      </c>
      <c r="I95" s="21" t="str">
        <f>IF(PRENDAS!$B60="","",PRENDAS!$J60)</f>
        <v/>
      </c>
      <c r="J95" s="21" t="str">
        <f>IF(PRENDAS!$B60="","",PRENDAS!$P60)</f>
        <v/>
      </c>
    </row>
    <row r="96" ht="15.0" customHeight="1">
      <c r="A96" s="30" t="str">
        <f>IF(PRENDAS!$B61="","",PRENDAS!$A61)</f>
        <v/>
      </c>
      <c r="B96" s="21" t="str">
        <f>IF(PRENDAS!$B61="","",PRENDAS!$B61)</f>
        <v/>
      </c>
      <c r="C96" s="21" t="str">
        <f>IF(PRENDAS!$B61="","",PRENDAS!$D61)</f>
        <v/>
      </c>
      <c r="D96" s="30" t="str">
        <f>IF(PRENDAS!$B61="","",PRENDAS!$E61)</f>
        <v/>
      </c>
      <c r="E96" s="30" t="str">
        <f>IF(PRENDAS!$B61="","",PRENDAS!$F61)</f>
        <v/>
      </c>
      <c r="F96" s="21" t="str">
        <f>IF(PRENDAS!$B61="","",PRENDAS!$G61)</f>
        <v/>
      </c>
      <c r="G96" s="21" t="str">
        <f>IF(PRENDAS!$B61="","",PRENDAS!$H61)</f>
        <v/>
      </c>
      <c r="H96" s="21" t="str">
        <f>IF(PRENDAS!$B61="","",PRENDAS!$I61)</f>
        <v/>
      </c>
      <c r="I96" s="21" t="str">
        <f>IF(PRENDAS!$B61="","",PRENDAS!$J61)</f>
        <v/>
      </c>
      <c r="J96" s="21" t="str">
        <f>IF(PRENDAS!$B61="","",PRENDAS!$P61)</f>
        <v/>
      </c>
    </row>
    <row r="97" ht="15.0" customHeight="1">
      <c r="A97" s="30" t="str">
        <f>IF(PRENDAS!$B62="","",PRENDAS!$A62)</f>
        <v/>
      </c>
      <c r="B97" s="21" t="str">
        <f>IF(PRENDAS!$B62="","",PRENDAS!$B62)</f>
        <v/>
      </c>
      <c r="C97" s="21" t="str">
        <f>IF(PRENDAS!$B62="","",PRENDAS!$D62)</f>
        <v/>
      </c>
      <c r="D97" s="30" t="str">
        <f>IF(PRENDAS!$B62="","",PRENDAS!$E62)</f>
        <v/>
      </c>
      <c r="E97" s="30" t="str">
        <f>IF(PRENDAS!$B62="","",PRENDAS!$F62)</f>
        <v/>
      </c>
      <c r="F97" s="21" t="str">
        <f>IF(PRENDAS!$B62="","",PRENDAS!$G62)</f>
        <v/>
      </c>
      <c r="G97" s="21" t="str">
        <f>IF(PRENDAS!$B62="","",PRENDAS!$H62)</f>
        <v/>
      </c>
      <c r="H97" s="21" t="str">
        <f>IF(PRENDAS!$B62="","",PRENDAS!$I62)</f>
        <v/>
      </c>
      <c r="I97" s="21" t="str">
        <f>IF(PRENDAS!$B62="","",PRENDAS!$J62)</f>
        <v/>
      </c>
      <c r="J97" s="21" t="str">
        <f>IF(PRENDAS!$B62="","",PRENDAS!$P62)</f>
        <v/>
      </c>
    </row>
    <row r="98" ht="15.0" customHeight="1">
      <c r="A98" s="30" t="str">
        <f>IF(PRENDAS!$B63="","",PRENDAS!$A63)</f>
        <v/>
      </c>
      <c r="B98" s="21" t="str">
        <f>IF(PRENDAS!$B63="","",PRENDAS!$B63)</f>
        <v/>
      </c>
      <c r="C98" s="21" t="str">
        <f>IF(PRENDAS!$B63="","",PRENDAS!$D63)</f>
        <v/>
      </c>
      <c r="D98" s="30" t="str">
        <f>IF(PRENDAS!$B63="","",PRENDAS!$E63)</f>
        <v/>
      </c>
      <c r="E98" s="30" t="str">
        <f>IF(PRENDAS!$B63="","",PRENDAS!$F63)</f>
        <v/>
      </c>
      <c r="F98" s="21" t="str">
        <f>IF(PRENDAS!$B63="","",PRENDAS!$G63)</f>
        <v/>
      </c>
      <c r="G98" s="21" t="str">
        <f>IF(PRENDAS!$B63="","",PRENDAS!$H63)</f>
        <v/>
      </c>
      <c r="H98" s="21" t="str">
        <f>IF(PRENDAS!$B63="","",PRENDAS!$I63)</f>
        <v/>
      </c>
      <c r="I98" s="21" t="str">
        <f>IF(PRENDAS!$B63="","",PRENDAS!$J63)</f>
        <v/>
      </c>
      <c r="J98" s="21" t="str">
        <f>IF(PRENDAS!$B63="","",PRENDAS!$P63)</f>
        <v/>
      </c>
    </row>
    <row r="99" ht="15.0" customHeight="1">
      <c r="A99" s="30" t="str">
        <f>IF(PRENDAS!$B64="","",PRENDAS!$A64)</f>
        <v/>
      </c>
      <c r="B99" s="21" t="str">
        <f>IF(PRENDAS!$B64="","",PRENDAS!$B64)</f>
        <v/>
      </c>
      <c r="C99" s="21" t="str">
        <f>IF(PRENDAS!$B64="","",PRENDAS!$D64)</f>
        <v/>
      </c>
      <c r="D99" s="30" t="str">
        <f>IF(PRENDAS!$B64="","",PRENDAS!$E64)</f>
        <v/>
      </c>
      <c r="E99" s="30" t="str">
        <f>IF(PRENDAS!$B64="","",PRENDAS!$F64)</f>
        <v/>
      </c>
      <c r="F99" s="21" t="str">
        <f>IF(PRENDAS!$B64="","",PRENDAS!$G64)</f>
        <v/>
      </c>
      <c r="G99" s="21" t="str">
        <f>IF(PRENDAS!$B64="","",PRENDAS!$H64)</f>
        <v/>
      </c>
      <c r="H99" s="21" t="str">
        <f>IF(PRENDAS!$B64="","",PRENDAS!$I64)</f>
        <v/>
      </c>
      <c r="I99" s="21" t="str">
        <f>IF(PRENDAS!$B64="","",PRENDAS!$J64)</f>
        <v/>
      </c>
      <c r="J99" s="21" t="str">
        <f>IF(PRENDAS!$B64="","",PRENDAS!$P64)</f>
        <v/>
      </c>
    </row>
    <row r="100" ht="15.0" customHeight="1">
      <c r="A100" s="30" t="str">
        <f>IF(PRENDAS!$B65="","",PRENDAS!$A65)</f>
        <v/>
      </c>
      <c r="B100" s="21" t="str">
        <f>IF(PRENDAS!$B65="","",PRENDAS!$B65)</f>
        <v/>
      </c>
      <c r="C100" s="21" t="str">
        <f>IF(PRENDAS!$B65="","",PRENDAS!$D65)</f>
        <v/>
      </c>
      <c r="D100" s="30" t="str">
        <f>IF(PRENDAS!$B65="","",PRENDAS!$E65)</f>
        <v/>
      </c>
      <c r="E100" s="30" t="str">
        <f>IF(PRENDAS!$B65="","",PRENDAS!$F65)</f>
        <v/>
      </c>
      <c r="F100" s="21" t="str">
        <f>IF(PRENDAS!$B65="","",PRENDAS!$G65)</f>
        <v/>
      </c>
      <c r="G100" s="21" t="str">
        <f>IF(PRENDAS!$B65="","",PRENDAS!$H65)</f>
        <v/>
      </c>
      <c r="H100" s="21" t="str">
        <f>IF(PRENDAS!$B65="","",PRENDAS!$I65)</f>
        <v/>
      </c>
      <c r="I100" s="21" t="str">
        <f>IF(PRENDAS!$B65="","",PRENDAS!$J65)</f>
        <v/>
      </c>
      <c r="J100" s="21" t="str">
        <f>IF(PRENDAS!$B65="","",PRENDAS!$P65)</f>
        <v/>
      </c>
    </row>
    <row r="101" ht="15.0" customHeight="1">
      <c r="A101" s="30" t="str">
        <f>IF(PRENDAS!$B66="","",PRENDAS!$A66)</f>
        <v/>
      </c>
      <c r="B101" s="21" t="str">
        <f>IF(PRENDAS!$B66="","",PRENDAS!$B66)</f>
        <v/>
      </c>
      <c r="C101" s="21" t="str">
        <f>IF(PRENDAS!$B66="","",PRENDAS!$D66)</f>
        <v/>
      </c>
      <c r="D101" s="30" t="str">
        <f>IF(PRENDAS!$B66="","",PRENDAS!$E66)</f>
        <v/>
      </c>
      <c r="E101" s="30" t="str">
        <f>IF(PRENDAS!$B66="","",PRENDAS!$F66)</f>
        <v/>
      </c>
      <c r="F101" s="21" t="str">
        <f>IF(PRENDAS!$B66="","",PRENDAS!$G66)</f>
        <v/>
      </c>
      <c r="G101" s="21" t="str">
        <f>IF(PRENDAS!$B66="","",PRENDAS!$H66)</f>
        <v/>
      </c>
      <c r="H101" s="21" t="str">
        <f>IF(PRENDAS!$B66="","",PRENDAS!$I66)</f>
        <v/>
      </c>
      <c r="I101" s="21" t="str">
        <f>IF(PRENDAS!$B66="","",PRENDAS!$J66)</f>
        <v/>
      </c>
      <c r="J101" s="21" t="str">
        <f>IF(PRENDAS!$B66="","",PRENDAS!$P66)</f>
        <v/>
      </c>
    </row>
    <row r="102" ht="15.0" customHeight="1">
      <c r="A102" s="30" t="str">
        <f>IF(PRENDAS!$B67="","",PRENDAS!$A67)</f>
        <v/>
      </c>
      <c r="B102" s="21" t="str">
        <f>IF(PRENDAS!$B67="","",PRENDAS!$B67)</f>
        <v/>
      </c>
      <c r="C102" s="21" t="str">
        <f>IF(PRENDAS!$B67="","",PRENDAS!$D67)</f>
        <v/>
      </c>
      <c r="D102" s="30" t="str">
        <f>IF(PRENDAS!$B67="","",PRENDAS!$E67)</f>
        <v/>
      </c>
      <c r="E102" s="30" t="str">
        <f>IF(PRENDAS!$B67="","",PRENDAS!$F67)</f>
        <v/>
      </c>
      <c r="F102" s="21" t="str">
        <f>IF(PRENDAS!$B67="","",PRENDAS!$G67)</f>
        <v/>
      </c>
      <c r="G102" s="21" t="str">
        <f>IF(PRENDAS!$B67="","",PRENDAS!$H67)</f>
        <v/>
      </c>
      <c r="H102" s="21" t="str">
        <f>IF(PRENDAS!$B67="","",PRENDAS!$I67)</f>
        <v/>
      </c>
      <c r="I102" s="21" t="str">
        <f>IF(PRENDAS!$B67="","",PRENDAS!$J67)</f>
        <v/>
      </c>
      <c r="J102" s="21" t="str">
        <f>IF(PRENDAS!$B67="","",PRENDAS!$P67)</f>
        <v/>
      </c>
    </row>
    <row r="103" ht="15.0" customHeight="1">
      <c r="A103" s="30" t="str">
        <f>IF(PRENDAS!$B68="","",PRENDAS!$A68)</f>
        <v/>
      </c>
      <c r="B103" s="21" t="str">
        <f>IF(PRENDAS!$B68="","",PRENDAS!$B68)</f>
        <v/>
      </c>
      <c r="C103" s="21" t="str">
        <f>IF(PRENDAS!$B68="","",PRENDAS!$D68)</f>
        <v/>
      </c>
      <c r="D103" s="30" t="str">
        <f>IF(PRENDAS!$B68="","",PRENDAS!$E68)</f>
        <v/>
      </c>
      <c r="E103" s="30" t="str">
        <f>IF(PRENDAS!$B68="","",PRENDAS!$F68)</f>
        <v/>
      </c>
      <c r="F103" s="21" t="str">
        <f>IF(PRENDAS!$B68="","",PRENDAS!$G68)</f>
        <v/>
      </c>
      <c r="G103" s="21" t="str">
        <f>IF(PRENDAS!$B68="","",PRENDAS!$H68)</f>
        <v/>
      </c>
      <c r="H103" s="21" t="str">
        <f>IF(PRENDAS!$B68="","",PRENDAS!$I68)</f>
        <v/>
      </c>
      <c r="I103" s="21" t="str">
        <f>IF(PRENDAS!$B68="","",PRENDAS!$J68)</f>
        <v/>
      </c>
      <c r="J103" s="21" t="str">
        <f>IF(PRENDAS!$B68="","",PRENDAS!$P68)</f>
        <v/>
      </c>
    </row>
    <row r="104" ht="15.0" customHeight="1">
      <c r="A104" s="30" t="str">
        <f>IF(PRENDAS!$B69="","",PRENDAS!$A69)</f>
        <v/>
      </c>
      <c r="B104" s="21" t="str">
        <f>IF(PRENDAS!$B69="","",PRENDAS!$B69)</f>
        <v/>
      </c>
      <c r="C104" s="21" t="str">
        <f>IF(PRENDAS!$B69="","",PRENDAS!$D69)</f>
        <v/>
      </c>
      <c r="D104" s="30" t="str">
        <f>IF(PRENDAS!$B69="","",PRENDAS!$E69)</f>
        <v/>
      </c>
      <c r="E104" s="30" t="str">
        <f>IF(PRENDAS!$B69="","",PRENDAS!$F69)</f>
        <v/>
      </c>
      <c r="F104" s="21" t="str">
        <f>IF(PRENDAS!$B69="","",PRENDAS!$G69)</f>
        <v/>
      </c>
      <c r="G104" s="21" t="str">
        <f>IF(PRENDAS!$B69="","",PRENDAS!$H69)</f>
        <v/>
      </c>
      <c r="H104" s="21" t="str">
        <f>IF(PRENDAS!$B69="","",PRENDAS!$I69)</f>
        <v/>
      </c>
      <c r="I104" s="21" t="str">
        <f>IF(PRENDAS!$B69="","",PRENDAS!$J69)</f>
        <v/>
      </c>
      <c r="J104" s="21" t="str">
        <f>IF(PRENDAS!$B69="","",PRENDAS!$P69)</f>
        <v/>
      </c>
    </row>
    <row r="105" ht="15.0" customHeight="1">
      <c r="A105" s="30" t="str">
        <f>IF(PRENDAS!$B70="","",PRENDAS!$A70)</f>
        <v/>
      </c>
      <c r="B105" s="21" t="str">
        <f>IF(PRENDAS!$B70="","",PRENDAS!$B70)</f>
        <v/>
      </c>
      <c r="C105" s="21" t="str">
        <f>IF(PRENDAS!$B70="","",PRENDAS!$D70)</f>
        <v/>
      </c>
      <c r="D105" s="30" t="str">
        <f>IF(PRENDAS!$B70="","",PRENDAS!$E70)</f>
        <v/>
      </c>
      <c r="E105" s="30" t="str">
        <f>IF(PRENDAS!$B70="","",PRENDAS!$F70)</f>
        <v/>
      </c>
      <c r="F105" s="21" t="str">
        <f>IF(PRENDAS!$B70="","",PRENDAS!$G70)</f>
        <v/>
      </c>
      <c r="G105" s="21" t="str">
        <f>IF(PRENDAS!$B70="","",PRENDAS!$H70)</f>
        <v/>
      </c>
      <c r="H105" s="21" t="str">
        <f>IF(PRENDAS!$B70="","",PRENDAS!$I70)</f>
        <v/>
      </c>
      <c r="I105" s="21" t="str">
        <f>IF(PRENDAS!$B70="","",PRENDAS!$J70)</f>
        <v/>
      </c>
      <c r="J105" s="21" t="str">
        <f>IF(PRENDAS!$B70="","",PRENDAS!$P70)</f>
        <v/>
      </c>
    </row>
    <row r="106" ht="15.0" customHeight="1">
      <c r="A106" s="30" t="str">
        <f>IF(PRENDAS!$B71="","",PRENDAS!$A71)</f>
        <v/>
      </c>
      <c r="B106" s="21" t="str">
        <f>IF(PRENDAS!$B71="","",PRENDAS!$B71)</f>
        <v/>
      </c>
      <c r="C106" s="21" t="str">
        <f>IF(PRENDAS!$B71="","",PRENDAS!$D71)</f>
        <v/>
      </c>
      <c r="D106" s="30" t="str">
        <f>IF(PRENDAS!$B71="","",PRENDAS!$E71)</f>
        <v/>
      </c>
      <c r="E106" s="30" t="str">
        <f>IF(PRENDAS!$B71="","",PRENDAS!$F71)</f>
        <v/>
      </c>
      <c r="F106" s="21" t="str">
        <f>IF(PRENDAS!$B71="","",PRENDAS!$G71)</f>
        <v/>
      </c>
      <c r="G106" s="21" t="str">
        <f>IF(PRENDAS!$B71="","",PRENDAS!$H71)</f>
        <v/>
      </c>
      <c r="H106" s="21" t="str">
        <f>IF(PRENDAS!$B71="","",PRENDAS!$I71)</f>
        <v/>
      </c>
      <c r="I106" s="21" t="str">
        <f>IF(PRENDAS!$B71="","",PRENDAS!$J71)</f>
        <v/>
      </c>
      <c r="J106" s="21" t="str">
        <f>IF(PRENDAS!$B71="","",PRENDAS!$P71)</f>
        <v/>
      </c>
    </row>
    <row r="107" ht="15.0" customHeight="1">
      <c r="A107" s="30" t="str">
        <f>IF(PRENDAS!$B72="","",PRENDAS!$A72)</f>
        <v/>
      </c>
      <c r="B107" s="21" t="str">
        <f>IF(PRENDAS!$B72="","",PRENDAS!$B72)</f>
        <v/>
      </c>
      <c r="C107" s="21" t="str">
        <f>IF(PRENDAS!$B72="","",PRENDAS!$D72)</f>
        <v/>
      </c>
      <c r="D107" s="30" t="str">
        <f>IF(PRENDAS!$B72="","",PRENDAS!$E72)</f>
        <v/>
      </c>
      <c r="E107" s="30" t="str">
        <f>IF(PRENDAS!$B72="","",PRENDAS!$F72)</f>
        <v/>
      </c>
      <c r="F107" s="21" t="str">
        <f>IF(PRENDAS!$B72="","",PRENDAS!$G72)</f>
        <v/>
      </c>
      <c r="G107" s="21" t="str">
        <f>IF(PRENDAS!$B72="","",PRENDAS!$H72)</f>
        <v/>
      </c>
      <c r="H107" s="21" t="str">
        <f>IF(PRENDAS!$B72="","",PRENDAS!$I72)</f>
        <v/>
      </c>
      <c r="I107" s="21" t="str">
        <f>IF(PRENDAS!$B72="","",PRENDAS!$J72)</f>
        <v/>
      </c>
      <c r="J107" s="21" t="str">
        <f>IF(PRENDAS!$B72="","",PRENDAS!$P72)</f>
        <v/>
      </c>
    </row>
    <row r="108" ht="15.0" customHeight="1">
      <c r="A108" s="30" t="str">
        <f>IF(PRENDAS!$B73="","",PRENDAS!$A73)</f>
        <v/>
      </c>
      <c r="B108" s="21" t="str">
        <f>IF(PRENDAS!$B73="","",PRENDAS!$B73)</f>
        <v/>
      </c>
      <c r="C108" s="21" t="str">
        <f>IF(PRENDAS!$B73="","",PRENDAS!$D73)</f>
        <v/>
      </c>
      <c r="D108" s="30" t="str">
        <f>IF(PRENDAS!$B73="","",PRENDAS!$E73)</f>
        <v/>
      </c>
      <c r="E108" s="30" t="str">
        <f>IF(PRENDAS!$B73="","",PRENDAS!$F73)</f>
        <v/>
      </c>
      <c r="F108" s="21" t="str">
        <f>IF(PRENDAS!$B73="","",PRENDAS!$G73)</f>
        <v/>
      </c>
      <c r="G108" s="21" t="str">
        <f>IF(PRENDAS!$B73="","",PRENDAS!$H73)</f>
        <v/>
      </c>
      <c r="H108" s="21" t="str">
        <f>IF(PRENDAS!$B73="","",PRENDAS!$I73)</f>
        <v/>
      </c>
      <c r="I108" s="21" t="str">
        <f>IF(PRENDAS!$B73="","",PRENDAS!$J73)</f>
        <v/>
      </c>
      <c r="J108" s="21" t="str">
        <f>IF(PRENDAS!$B73="","",PRENDAS!$P73)</f>
        <v/>
      </c>
    </row>
    <row r="109" ht="15.0" customHeight="1">
      <c r="A109" s="30" t="str">
        <f>IF(PRENDAS!$B74="","",PRENDAS!$A74)</f>
        <v/>
      </c>
      <c r="B109" s="21" t="str">
        <f>IF(PRENDAS!$B74="","",PRENDAS!$B74)</f>
        <v/>
      </c>
      <c r="C109" s="21" t="str">
        <f>IF(PRENDAS!$B74="","",PRENDAS!$D74)</f>
        <v/>
      </c>
      <c r="D109" s="30" t="str">
        <f>IF(PRENDAS!$B74="","",PRENDAS!$E74)</f>
        <v/>
      </c>
      <c r="E109" s="30" t="str">
        <f>IF(PRENDAS!$B74="","",PRENDAS!$F74)</f>
        <v/>
      </c>
      <c r="F109" s="21" t="str">
        <f>IF(PRENDAS!$B74="","",PRENDAS!$G74)</f>
        <v/>
      </c>
      <c r="G109" s="21" t="str">
        <f>IF(PRENDAS!$B74="","",PRENDAS!$H74)</f>
        <v/>
      </c>
      <c r="H109" s="21" t="str">
        <f>IF(PRENDAS!$B74="","",PRENDAS!$I74)</f>
        <v/>
      </c>
      <c r="I109" s="21" t="str">
        <f>IF(PRENDAS!$B74="","",PRENDAS!$J74)</f>
        <v/>
      </c>
      <c r="J109" s="21" t="str">
        <f>IF(PRENDAS!$B74="","",PRENDAS!$P74)</f>
        <v/>
      </c>
    </row>
    <row r="110" ht="15.0" customHeight="1">
      <c r="A110" s="30" t="str">
        <f>IF(PRENDAS!$B75="","",PRENDAS!$A75)</f>
        <v/>
      </c>
      <c r="B110" s="21" t="str">
        <f>IF(PRENDAS!$B75="","",PRENDAS!$B75)</f>
        <v/>
      </c>
      <c r="C110" s="21" t="str">
        <f>IF(PRENDAS!$B75="","",PRENDAS!$D75)</f>
        <v/>
      </c>
      <c r="D110" s="30" t="str">
        <f>IF(PRENDAS!$B75="","",PRENDAS!$E75)</f>
        <v/>
      </c>
      <c r="E110" s="30" t="str">
        <f>IF(PRENDAS!$B75="","",PRENDAS!$F75)</f>
        <v/>
      </c>
      <c r="F110" s="21" t="str">
        <f>IF(PRENDAS!$B75="","",PRENDAS!$G75)</f>
        <v/>
      </c>
      <c r="G110" s="21" t="str">
        <f>IF(PRENDAS!$B75="","",PRENDAS!$H75)</f>
        <v/>
      </c>
      <c r="H110" s="21" t="str">
        <f>IF(PRENDAS!$B75="","",PRENDAS!$I75)</f>
        <v/>
      </c>
      <c r="I110" s="21" t="str">
        <f>IF(PRENDAS!$B75="","",PRENDAS!$J75)</f>
        <v/>
      </c>
      <c r="J110" s="21" t="str">
        <f>IF(PRENDAS!$B75="","",PRENDAS!$P75)</f>
        <v/>
      </c>
    </row>
    <row r="111" ht="15.0" customHeight="1">
      <c r="A111" s="30" t="str">
        <f>IF(PRENDAS!$B76="","",PRENDAS!$A76)</f>
        <v/>
      </c>
      <c r="B111" s="21" t="str">
        <f>IF(PRENDAS!$B76="","",PRENDAS!$B76)</f>
        <v/>
      </c>
      <c r="C111" s="21" t="str">
        <f>IF(PRENDAS!$B76="","",PRENDAS!$D76)</f>
        <v/>
      </c>
      <c r="D111" s="30" t="str">
        <f>IF(PRENDAS!$B76="","",PRENDAS!$E76)</f>
        <v/>
      </c>
      <c r="E111" s="30" t="str">
        <f>IF(PRENDAS!$B76="","",PRENDAS!$F76)</f>
        <v/>
      </c>
      <c r="F111" s="21" t="str">
        <f>IF(PRENDAS!$B76="","",PRENDAS!$G76)</f>
        <v/>
      </c>
      <c r="G111" s="21" t="str">
        <f>IF(PRENDAS!$B76="","",PRENDAS!$H76)</f>
        <v/>
      </c>
      <c r="H111" s="21" t="str">
        <f>IF(PRENDAS!$B76="","",PRENDAS!$I76)</f>
        <v/>
      </c>
      <c r="I111" s="21" t="str">
        <f>IF(PRENDAS!$B76="","",PRENDAS!$J76)</f>
        <v/>
      </c>
      <c r="J111" s="21" t="str">
        <f>IF(PRENDAS!$B76="","",PRENDAS!$P76)</f>
        <v/>
      </c>
    </row>
    <row r="112" ht="15.0" customHeight="1">
      <c r="A112" s="30" t="str">
        <f>IF(PRENDAS!$B77="","",PRENDAS!$A77)</f>
        <v/>
      </c>
      <c r="B112" s="21" t="str">
        <f>IF(PRENDAS!$B77="","",PRENDAS!$B77)</f>
        <v/>
      </c>
      <c r="C112" s="21" t="str">
        <f>IF(PRENDAS!$B77="","",PRENDAS!$D77)</f>
        <v/>
      </c>
      <c r="D112" s="30" t="str">
        <f>IF(PRENDAS!$B77="","",PRENDAS!$E77)</f>
        <v/>
      </c>
      <c r="E112" s="30" t="str">
        <f>IF(PRENDAS!$B77="","",PRENDAS!$F77)</f>
        <v/>
      </c>
      <c r="F112" s="21" t="str">
        <f>IF(PRENDAS!$B77="","",PRENDAS!$G77)</f>
        <v/>
      </c>
      <c r="G112" s="21" t="str">
        <f>IF(PRENDAS!$B77="","",PRENDAS!$H77)</f>
        <v/>
      </c>
      <c r="H112" s="21" t="str">
        <f>IF(PRENDAS!$B77="","",PRENDAS!$I77)</f>
        <v/>
      </c>
      <c r="I112" s="21" t="str">
        <f>IF(PRENDAS!$B77="","",PRENDAS!$J77)</f>
        <v/>
      </c>
      <c r="J112" s="21" t="str">
        <f>IF(PRENDAS!$B77="","",PRENDAS!$P77)</f>
        <v/>
      </c>
    </row>
    <row r="113" ht="15.0" customHeight="1">
      <c r="A113" s="30" t="str">
        <f>IF(PRENDAS!$B78="","",PRENDAS!$A78)</f>
        <v/>
      </c>
      <c r="B113" s="21" t="str">
        <f>IF(PRENDAS!$B78="","",PRENDAS!$B78)</f>
        <v/>
      </c>
      <c r="C113" s="21" t="str">
        <f>IF(PRENDAS!$B78="","",PRENDAS!$D78)</f>
        <v/>
      </c>
      <c r="D113" s="30" t="str">
        <f>IF(PRENDAS!$B78="","",PRENDAS!$E78)</f>
        <v/>
      </c>
      <c r="E113" s="30" t="str">
        <f>IF(PRENDAS!$B78="","",PRENDAS!$F78)</f>
        <v/>
      </c>
      <c r="F113" s="21" t="str">
        <f>IF(PRENDAS!$B78="","",PRENDAS!$G78)</f>
        <v/>
      </c>
      <c r="G113" s="21" t="str">
        <f>IF(PRENDAS!$B78="","",PRENDAS!$H78)</f>
        <v/>
      </c>
      <c r="H113" s="21" t="str">
        <f>IF(PRENDAS!$B78="","",PRENDAS!$I78)</f>
        <v/>
      </c>
      <c r="I113" s="21" t="str">
        <f>IF(PRENDAS!$B78="","",PRENDAS!$J78)</f>
        <v/>
      </c>
      <c r="J113" s="21" t="str">
        <f>IF(PRENDAS!$B78="","",PRENDAS!$P78)</f>
        <v/>
      </c>
    </row>
    <row r="114" ht="15.0" customHeight="1">
      <c r="A114" s="30" t="str">
        <f>IF(PRENDAS!$B79="","",PRENDAS!$A79)</f>
        <v/>
      </c>
      <c r="B114" s="21" t="str">
        <f>IF(PRENDAS!$B79="","",PRENDAS!$B79)</f>
        <v/>
      </c>
      <c r="C114" s="21" t="str">
        <f>IF(PRENDAS!$B79="","",PRENDAS!$D79)</f>
        <v/>
      </c>
      <c r="D114" s="30" t="str">
        <f>IF(PRENDAS!$B79="","",PRENDAS!$E79)</f>
        <v/>
      </c>
      <c r="E114" s="30" t="str">
        <f>IF(PRENDAS!$B79="","",PRENDAS!$F79)</f>
        <v/>
      </c>
      <c r="F114" s="21" t="str">
        <f>IF(PRENDAS!$B79="","",PRENDAS!$G79)</f>
        <v/>
      </c>
      <c r="G114" s="21" t="str">
        <f>IF(PRENDAS!$B79="","",PRENDAS!$H79)</f>
        <v/>
      </c>
      <c r="H114" s="21" t="str">
        <f>IF(PRENDAS!$B79="","",PRENDAS!$I79)</f>
        <v/>
      </c>
      <c r="I114" s="21" t="str">
        <f>IF(PRENDAS!$B79="","",PRENDAS!$J79)</f>
        <v/>
      </c>
      <c r="J114" s="21" t="str">
        <f>IF(PRENDAS!$B79="","",PRENDAS!$P79)</f>
        <v/>
      </c>
    </row>
    <row r="115" ht="15.0" customHeight="1">
      <c r="A115" s="30" t="str">
        <f>IF(PRENDAS!$B80="","",PRENDAS!$A80)</f>
        <v/>
      </c>
      <c r="B115" s="21" t="str">
        <f>IF(PRENDAS!$B80="","",PRENDAS!$B80)</f>
        <v/>
      </c>
      <c r="C115" s="21" t="str">
        <f>IF(PRENDAS!$B80="","",PRENDAS!$D80)</f>
        <v/>
      </c>
      <c r="D115" s="30" t="str">
        <f>IF(PRENDAS!$B80="","",PRENDAS!$E80)</f>
        <v/>
      </c>
      <c r="E115" s="30" t="str">
        <f>IF(PRENDAS!$B80="","",PRENDAS!$F80)</f>
        <v/>
      </c>
      <c r="F115" s="21" t="str">
        <f>IF(PRENDAS!$B80="","",PRENDAS!$G80)</f>
        <v/>
      </c>
      <c r="G115" s="21" t="str">
        <f>IF(PRENDAS!$B80="","",PRENDAS!$H80)</f>
        <v/>
      </c>
      <c r="H115" s="21" t="str">
        <f>IF(PRENDAS!$B80="","",PRENDAS!$I80)</f>
        <v/>
      </c>
      <c r="I115" s="21" t="str">
        <f>IF(PRENDAS!$B80="","",PRENDAS!$J80)</f>
        <v/>
      </c>
      <c r="J115" s="21" t="str">
        <f>IF(PRENDAS!$B80="","",PRENDAS!$P80)</f>
        <v/>
      </c>
    </row>
    <row r="116" ht="15.0" customHeight="1">
      <c r="A116" s="30" t="str">
        <f>IF(PRENDAS!$B81="","",PRENDAS!$A81)</f>
        <v/>
      </c>
      <c r="B116" s="21" t="str">
        <f>IF(PRENDAS!$B81="","",PRENDAS!$B81)</f>
        <v/>
      </c>
      <c r="C116" s="21" t="str">
        <f>IF(PRENDAS!$B81="","",PRENDAS!$D81)</f>
        <v/>
      </c>
      <c r="D116" s="30" t="str">
        <f>IF(PRENDAS!$B81="","",PRENDAS!$E81)</f>
        <v/>
      </c>
      <c r="E116" s="30" t="str">
        <f>IF(PRENDAS!$B81="","",PRENDAS!$F81)</f>
        <v/>
      </c>
      <c r="F116" s="21" t="str">
        <f>IF(PRENDAS!$B81="","",PRENDAS!$G81)</f>
        <v/>
      </c>
      <c r="G116" s="21" t="str">
        <f>IF(PRENDAS!$B81="","",PRENDAS!$H81)</f>
        <v/>
      </c>
      <c r="H116" s="21" t="str">
        <f>IF(PRENDAS!$B81="","",PRENDAS!$I81)</f>
        <v/>
      </c>
      <c r="I116" s="21" t="str">
        <f>IF(PRENDAS!$B81="","",PRENDAS!$J81)</f>
        <v/>
      </c>
      <c r="J116" s="21" t="str">
        <f>IF(PRENDAS!$B81="","",PRENDAS!$P81)</f>
        <v/>
      </c>
    </row>
    <row r="117" ht="15.0" customHeight="1">
      <c r="A117" s="30" t="str">
        <f>IF(PRENDAS!$B82="","",PRENDAS!$A82)</f>
        <v/>
      </c>
      <c r="B117" s="21" t="str">
        <f>IF(PRENDAS!$B82="","",PRENDAS!$B82)</f>
        <v/>
      </c>
      <c r="C117" s="21" t="str">
        <f>IF(PRENDAS!$B82="","",PRENDAS!$D82)</f>
        <v/>
      </c>
      <c r="D117" s="30" t="str">
        <f>IF(PRENDAS!$B82="","",PRENDAS!$E82)</f>
        <v/>
      </c>
      <c r="E117" s="30" t="str">
        <f>IF(PRENDAS!$B82="","",PRENDAS!$F82)</f>
        <v/>
      </c>
      <c r="F117" s="21" t="str">
        <f>IF(PRENDAS!$B82="","",PRENDAS!$G82)</f>
        <v/>
      </c>
      <c r="G117" s="21" t="str">
        <f>IF(PRENDAS!$B82="","",PRENDAS!$H82)</f>
        <v/>
      </c>
      <c r="H117" s="21" t="str">
        <f>IF(PRENDAS!$B82="","",PRENDAS!$I82)</f>
        <v/>
      </c>
      <c r="I117" s="21" t="str">
        <f>IF(PRENDAS!$B82="","",PRENDAS!$J82)</f>
        <v/>
      </c>
      <c r="J117" s="21" t="str">
        <f>IF(PRENDAS!$B82="","",PRENDAS!$P82)</f>
        <v/>
      </c>
    </row>
    <row r="118" ht="15.0" customHeight="1">
      <c r="A118" s="30" t="str">
        <f>IF(PRENDAS!$B83="","",PRENDAS!$A83)</f>
        <v/>
      </c>
      <c r="B118" s="21" t="str">
        <f>IF(PRENDAS!$B83="","",PRENDAS!$B83)</f>
        <v/>
      </c>
      <c r="C118" s="21" t="str">
        <f>IF(PRENDAS!$B83="","",PRENDAS!$D83)</f>
        <v/>
      </c>
      <c r="D118" s="30" t="str">
        <f>IF(PRENDAS!$B83="","",PRENDAS!$E83)</f>
        <v/>
      </c>
      <c r="E118" s="30" t="str">
        <f>IF(PRENDAS!$B83="","",PRENDAS!$F83)</f>
        <v/>
      </c>
      <c r="F118" s="21" t="str">
        <f>IF(PRENDAS!$B83="","",PRENDAS!$G83)</f>
        <v/>
      </c>
      <c r="G118" s="21" t="str">
        <f>IF(PRENDAS!$B83="","",PRENDAS!$H83)</f>
        <v/>
      </c>
      <c r="H118" s="21" t="str">
        <f>IF(PRENDAS!$B83="","",PRENDAS!$I83)</f>
        <v/>
      </c>
      <c r="I118" s="21" t="str">
        <f>IF(PRENDAS!$B83="","",PRENDAS!$J83)</f>
        <v/>
      </c>
      <c r="J118" s="21" t="str">
        <f>IF(PRENDAS!$B83="","",PRENDAS!$P83)</f>
        <v/>
      </c>
    </row>
    <row r="119" ht="15.0" customHeight="1">
      <c r="A119" s="30" t="str">
        <f>IF(PRENDAS!$B84="","",PRENDAS!$A84)</f>
        <v/>
      </c>
      <c r="B119" s="21" t="str">
        <f>IF(PRENDAS!$B84="","",PRENDAS!$B84)</f>
        <v/>
      </c>
      <c r="C119" s="21" t="str">
        <f>IF(PRENDAS!$B84="","",PRENDAS!$D84)</f>
        <v/>
      </c>
      <c r="D119" s="30" t="str">
        <f>IF(PRENDAS!$B84="","",PRENDAS!$E84)</f>
        <v/>
      </c>
      <c r="E119" s="30" t="str">
        <f>IF(PRENDAS!$B84="","",PRENDAS!$F84)</f>
        <v/>
      </c>
      <c r="F119" s="21" t="str">
        <f>IF(PRENDAS!$B84="","",PRENDAS!$G84)</f>
        <v/>
      </c>
      <c r="G119" s="21" t="str">
        <f>IF(PRENDAS!$B84="","",PRENDAS!$H84)</f>
        <v/>
      </c>
      <c r="H119" s="21" t="str">
        <f>IF(PRENDAS!$B84="","",PRENDAS!$I84)</f>
        <v/>
      </c>
      <c r="I119" s="21" t="str">
        <f>IF(PRENDAS!$B84="","",PRENDAS!$J84)</f>
        <v/>
      </c>
      <c r="J119" s="21" t="str">
        <f>IF(PRENDAS!$B84="","",PRENDAS!$P84)</f>
        <v/>
      </c>
    </row>
    <row r="120" ht="15.0" customHeight="1">
      <c r="A120" s="30" t="str">
        <f>IF(PRENDAS!$B85="","",PRENDAS!$A85)</f>
        <v/>
      </c>
      <c r="B120" s="21" t="str">
        <f>IF(PRENDAS!$B85="","",PRENDAS!$B85)</f>
        <v/>
      </c>
      <c r="C120" s="21" t="str">
        <f>IF(PRENDAS!$B85="","",PRENDAS!$D85)</f>
        <v/>
      </c>
      <c r="D120" s="30" t="str">
        <f>IF(PRENDAS!$B85="","",PRENDAS!$E85)</f>
        <v/>
      </c>
      <c r="E120" s="30" t="str">
        <f>IF(PRENDAS!$B85="","",PRENDAS!$F85)</f>
        <v/>
      </c>
      <c r="F120" s="21" t="str">
        <f>IF(PRENDAS!$B85="","",PRENDAS!$G85)</f>
        <v/>
      </c>
      <c r="G120" s="21" t="str">
        <f>IF(PRENDAS!$B85="","",PRENDAS!$H85)</f>
        <v/>
      </c>
      <c r="H120" s="21" t="str">
        <f>IF(PRENDAS!$B85="","",PRENDAS!$I85)</f>
        <v/>
      </c>
      <c r="I120" s="21" t="str">
        <f>IF(PRENDAS!$B85="","",PRENDAS!$J85)</f>
        <v/>
      </c>
      <c r="J120" s="21" t="str">
        <f>IF(PRENDAS!$B85="","",PRENDAS!$P85)</f>
        <v/>
      </c>
    </row>
    <row r="121" ht="15.0" customHeight="1">
      <c r="A121" s="30" t="str">
        <f>IF(PRENDAS!$B86="","",PRENDAS!$A86)</f>
        <v/>
      </c>
      <c r="B121" s="21" t="str">
        <f>IF(PRENDAS!$B86="","",PRENDAS!$B86)</f>
        <v/>
      </c>
      <c r="C121" s="21" t="str">
        <f>IF(PRENDAS!$B86="","",PRENDAS!$D86)</f>
        <v/>
      </c>
      <c r="D121" s="30" t="str">
        <f>IF(PRENDAS!$B86="","",PRENDAS!$E86)</f>
        <v/>
      </c>
      <c r="E121" s="30" t="str">
        <f>IF(PRENDAS!$B86="","",PRENDAS!$F86)</f>
        <v/>
      </c>
      <c r="F121" s="21" t="str">
        <f>IF(PRENDAS!$B86="","",PRENDAS!$G86)</f>
        <v/>
      </c>
      <c r="G121" s="21" t="str">
        <f>IF(PRENDAS!$B86="","",PRENDAS!$H86)</f>
        <v/>
      </c>
      <c r="H121" s="21" t="str">
        <f>IF(PRENDAS!$B86="","",PRENDAS!$I86)</f>
        <v/>
      </c>
      <c r="I121" s="21" t="str">
        <f>IF(PRENDAS!$B86="","",PRENDAS!$J86)</f>
        <v/>
      </c>
      <c r="J121" s="21" t="str">
        <f>IF(PRENDAS!$B86="","",PRENDAS!$P86)</f>
        <v/>
      </c>
    </row>
    <row r="122" ht="15.0" customHeight="1">
      <c r="A122" s="30" t="str">
        <f>IF(PRENDAS!$B87="","",PRENDAS!$A87)</f>
        <v/>
      </c>
      <c r="B122" s="21" t="str">
        <f>IF(PRENDAS!$B87="","",PRENDAS!$B87)</f>
        <v/>
      </c>
      <c r="C122" s="21" t="str">
        <f>IF(PRENDAS!$B87="","",PRENDAS!$D87)</f>
        <v/>
      </c>
      <c r="D122" s="30" t="str">
        <f>IF(PRENDAS!$B87="","",PRENDAS!$E87)</f>
        <v/>
      </c>
      <c r="E122" s="30" t="str">
        <f>IF(PRENDAS!$B87="","",PRENDAS!$F87)</f>
        <v/>
      </c>
      <c r="F122" s="21" t="str">
        <f>IF(PRENDAS!$B87="","",PRENDAS!$G87)</f>
        <v/>
      </c>
      <c r="G122" s="21" t="str">
        <f>IF(PRENDAS!$B87="","",PRENDAS!$H87)</f>
        <v/>
      </c>
      <c r="H122" s="21" t="str">
        <f>IF(PRENDAS!$B87="","",PRENDAS!$I87)</f>
        <v/>
      </c>
      <c r="I122" s="21" t="str">
        <f>IF(PRENDAS!$B87="","",PRENDAS!$J87)</f>
        <v/>
      </c>
      <c r="J122" s="21" t="str">
        <f>IF(PRENDAS!$B87="","",PRENDAS!$P87)</f>
        <v/>
      </c>
    </row>
    <row r="123" ht="15.0" customHeight="1">
      <c r="A123" s="30" t="str">
        <f>IF(PRENDAS!$B88="","",PRENDAS!$A88)</f>
        <v/>
      </c>
      <c r="B123" s="21" t="str">
        <f>IF(PRENDAS!$B88="","",PRENDAS!$B88)</f>
        <v/>
      </c>
      <c r="C123" s="21" t="str">
        <f>IF(PRENDAS!$B88="","",PRENDAS!$D88)</f>
        <v/>
      </c>
      <c r="D123" s="30" t="str">
        <f>IF(PRENDAS!$B88="","",PRENDAS!$E88)</f>
        <v/>
      </c>
      <c r="E123" s="30" t="str">
        <f>IF(PRENDAS!$B88="","",PRENDAS!$F88)</f>
        <v/>
      </c>
      <c r="F123" s="21" t="str">
        <f>IF(PRENDAS!$B88="","",PRENDAS!$G88)</f>
        <v/>
      </c>
      <c r="G123" s="21" t="str">
        <f>IF(PRENDAS!$B88="","",PRENDAS!$H88)</f>
        <v/>
      </c>
      <c r="H123" s="21" t="str">
        <f>IF(PRENDAS!$B88="","",PRENDAS!$I88)</f>
        <v/>
      </c>
      <c r="I123" s="21" t="str">
        <f>IF(PRENDAS!$B88="","",PRENDAS!$J88)</f>
        <v/>
      </c>
      <c r="J123" s="21" t="str">
        <f>IF(PRENDAS!$B88="","",PRENDAS!$P88)</f>
        <v/>
      </c>
    </row>
    <row r="124" ht="15.0" customHeight="1">
      <c r="A124" s="30" t="str">
        <f>IF(PRENDAS!$B89="","",PRENDAS!$A89)</f>
        <v/>
      </c>
      <c r="B124" s="21" t="str">
        <f>IF(PRENDAS!$B89="","",PRENDAS!$B89)</f>
        <v/>
      </c>
      <c r="C124" s="21" t="str">
        <f>IF(PRENDAS!$B89="","",PRENDAS!$D89)</f>
        <v/>
      </c>
      <c r="D124" s="30" t="str">
        <f>IF(PRENDAS!$B89="","",PRENDAS!$E89)</f>
        <v/>
      </c>
      <c r="E124" s="30" t="str">
        <f>IF(PRENDAS!$B89="","",PRENDAS!$F89)</f>
        <v/>
      </c>
      <c r="F124" s="21" t="str">
        <f>IF(PRENDAS!$B89="","",PRENDAS!$G89)</f>
        <v/>
      </c>
      <c r="G124" s="21" t="str">
        <f>IF(PRENDAS!$B89="","",PRENDAS!$H89)</f>
        <v/>
      </c>
      <c r="H124" s="21" t="str">
        <f>IF(PRENDAS!$B89="","",PRENDAS!$I89)</f>
        <v/>
      </c>
      <c r="I124" s="21" t="str">
        <f>IF(PRENDAS!$B89="","",PRENDAS!$J89)</f>
        <v/>
      </c>
      <c r="J124" s="21" t="str">
        <f>IF(PRENDAS!$B89="","",PRENDAS!$P89)</f>
        <v/>
      </c>
    </row>
    <row r="125" ht="15.0" customHeight="1">
      <c r="A125" s="30" t="str">
        <f>IF(PRENDAS!$B90="","",PRENDAS!$A90)</f>
        <v/>
      </c>
      <c r="B125" s="21" t="str">
        <f>IF(PRENDAS!$B90="","",PRENDAS!$B90)</f>
        <v/>
      </c>
      <c r="C125" s="21" t="str">
        <f>IF(PRENDAS!$B90="","",PRENDAS!$D90)</f>
        <v/>
      </c>
      <c r="D125" s="30" t="str">
        <f>IF(PRENDAS!$B90="","",PRENDAS!$E90)</f>
        <v/>
      </c>
      <c r="E125" s="30" t="str">
        <f>IF(PRENDAS!$B90="","",PRENDAS!$F90)</f>
        <v/>
      </c>
      <c r="F125" s="21" t="str">
        <f>IF(PRENDAS!$B90="","",PRENDAS!$G90)</f>
        <v/>
      </c>
      <c r="G125" s="21" t="str">
        <f>IF(PRENDAS!$B90="","",PRENDAS!$H90)</f>
        <v/>
      </c>
      <c r="H125" s="21" t="str">
        <f>IF(PRENDAS!$B90="","",PRENDAS!$I90)</f>
        <v/>
      </c>
      <c r="I125" s="21" t="str">
        <f>IF(PRENDAS!$B90="","",PRENDAS!$J90)</f>
        <v/>
      </c>
      <c r="J125" s="21" t="str">
        <f>IF(PRENDAS!$B90="","",PRENDAS!$P90)</f>
        <v/>
      </c>
    </row>
    <row r="126" ht="15.0" customHeight="1">
      <c r="A126" s="30" t="str">
        <f>IF(PRENDAS!$B91="","",PRENDAS!$A91)</f>
        <v/>
      </c>
      <c r="B126" s="21" t="str">
        <f>IF(PRENDAS!$B91="","",PRENDAS!$B91)</f>
        <v/>
      </c>
      <c r="C126" s="21" t="str">
        <f>IF(PRENDAS!$B91="","",PRENDAS!$D91)</f>
        <v/>
      </c>
      <c r="D126" s="30" t="str">
        <f>IF(PRENDAS!$B91="","",PRENDAS!$E91)</f>
        <v/>
      </c>
      <c r="E126" s="30" t="str">
        <f>IF(PRENDAS!$B91="","",PRENDAS!$F91)</f>
        <v/>
      </c>
      <c r="F126" s="21" t="str">
        <f>IF(PRENDAS!$B91="","",PRENDAS!$G91)</f>
        <v/>
      </c>
      <c r="G126" s="21" t="str">
        <f>IF(PRENDAS!$B91="","",PRENDAS!$H91)</f>
        <v/>
      </c>
      <c r="H126" s="21" t="str">
        <f>IF(PRENDAS!$B91="","",PRENDAS!$I91)</f>
        <v/>
      </c>
      <c r="I126" s="21" t="str">
        <f>IF(PRENDAS!$B91="","",PRENDAS!$J91)</f>
        <v/>
      </c>
      <c r="J126" s="21" t="str">
        <f>IF(PRENDAS!$B91="","",PRENDAS!$P91)</f>
        <v/>
      </c>
    </row>
    <row r="127" ht="15.0" customHeight="1">
      <c r="A127" s="30" t="str">
        <f>IF(PRENDAS!$B92="","",PRENDAS!$A92)</f>
        <v/>
      </c>
      <c r="B127" s="21" t="str">
        <f>IF(PRENDAS!$B92="","",PRENDAS!$B92)</f>
        <v/>
      </c>
      <c r="C127" s="21" t="str">
        <f>IF(PRENDAS!$B92="","",PRENDAS!$D92)</f>
        <v/>
      </c>
      <c r="D127" s="30" t="str">
        <f>IF(PRENDAS!$B92="","",PRENDAS!$E92)</f>
        <v/>
      </c>
      <c r="E127" s="30" t="str">
        <f>IF(PRENDAS!$B92="","",PRENDAS!$F92)</f>
        <v/>
      </c>
      <c r="F127" s="21" t="str">
        <f>IF(PRENDAS!$B92="","",PRENDAS!$G92)</f>
        <v/>
      </c>
      <c r="G127" s="21" t="str">
        <f>IF(PRENDAS!$B92="","",PRENDAS!$H92)</f>
        <v/>
      </c>
      <c r="H127" s="21" t="str">
        <f>IF(PRENDAS!$B92="","",PRENDAS!$I92)</f>
        <v/>
      </c>
      <c r="I127" s="21" t="str">
        <f>IF(PRENDAS!$B92="","",PRENDAS!$J92)</f>
        <v/>
      </c>
      <c r="J127" s="21" t="str">
        <f>IF(PRENDAS!$B92="","",PRENDAS!$P92)</f>
        <v/>
      </c>
    </row>
    <row r="128" ht="15.0" customHeight="1">
      <c r="A128" s="30" t="str">
        <f>IF(PRENDAS!$B93="","",PRENDAS!$A93)</f>
        <v/>
      </c>
      <c r="B128" s="21" t="str">
        <f>IF(PRENDAS!$B93="","",PRENDAS!$B93)</f>
        <v/>
      </c>
      <c r="C128" s="21" t="str">
        <f>IF(PRENDAS!$B93="","",PRENDAS!$D93)</f>
        <v/>
      </c>
      <c r="D128" s="30" t="str">
        <f>IF(PRENDAS!$B93="","",PRENDAS!$E93)</f>
        <v/>
      </c>
      <c r="E128" s="30" t="str">
        <f>IF(PRENDAS!$B93="","",PRENDAS!$F93)</f>
        <v/>
      </c>
      <c r="F128" s="21" t="str">
        <f>IF(PRENDAS!$B93="","",PRENDAS!$G93)</f>
        <v/>
      </c>
      <c r="G128" s="21" t="str">
        <f>IF(PRENDAS!$B93="","",PRENDAS!$H93)</f>
        <v/>
      </c>
      <c r="H128" s="21" t="str">
        <f>IF(PRENDAS!$B93="","",PRENDAS!$I93)</f>
        <v/>
      </c>
      <c r="I128" s="21" t="str">
        <f>IF(PRENDAS!$B93="","",PRENDAS!$J93)</f>
        <v/>
      </c>
      <c r="J128" s="21" t="str">
        <f>IF(PRENDAS!$B93="","",PRENDAS!$P93)</f>
        <v/>
      </c>
    </row>
    <row r="129" ht="15.0" customHeight="1">
      <c r="A129" s="30" t="str">
        <f>IF(PRENDAS!$B94="","",PRENDAS!$A94)</f>
        <v/>
      </c>
      <c r="B129" s="21" t="str">
        <f>IF(PRENDAS!$B94="","",PRENDAS!$B94)</f>
        <v/>
      </c>
      <c r="C129" s="21" t="str">
        <f>IF(PRENDAS!$B94="","",PRENDAS!$D94)</f>
        <v/>
      </c>
      <c r="D129" s="30" t="str">
        <f>IF(PRENDAS!$B94="","",PRENDAS!$E94)</f>
        <v/>
      </c>
      <c r="E129" s="30" t="str">
        <f>IF(PRENDAS!$B94="","",PRENDAS!$F94)</f>
        <v/>
      </c>
      <c r="F129" s="21" t="str">
        <f>IF(PRENDAS!$B94="","",PRENDAS!$G94)</f>
        <v/>
      </c>
      <c r="G129" s="21" t="str">
        <f>IF(PRENDAS!$B94="","",PRENDAS!$H94)</f>
        <v/>
      </c>
      <c r="H129" s="21" t="str">
        <f>IF(PRENDAS!$B94="","",PRENDAS!$I94)</f>
        <v/>
      </c>
      <c r="I129" s="21" t="str">
        <f>IF(PRENDAS!$B94="","",PRENDAS!$J94)</f>
        <v/>
      </c>
      <c r="J129" s="21" t="str">
        <f>IF(PRENDAS!$B94="","",PRENDAS!$P94)</f>
        <v/>
      </c>
    </row>
    <row r="130" ht="15.0" customHeight="1">
      <c r="A130" s="30" t="str">
        <f>IF(PRENDAS!$B95="","",PRENDAS!$A95)</f>
        <v/>
      </c>
      <c r="B130" s="21" t="str">
        <f>IF(PRENDAS!$B95="","",PRENDAS!$B95)</f>
        <v/>
      </c>
      <c r="C130" s="21" t="str">
        <f>IF(PRENDAS!$B95="","",PRENDAS!$D95)</f>
        <v/>
      </c>
      <c r="D130" s="30" t="str">
        <f>IF(PRENDAS!$B95="","",PRENDAS!$E95)</f>
        <v/>
      </c>
      <c r="E130" s="30" t="str">
        <f>IF(PRENDAS!$B95="","",PRENDAS!$F95)</f>
        <v/>
      </c>
      <c r="F130" s="21" t="str">
        <f>IF(PRENDAS!$B95="","",PRENDAS!$G95)</f>
        <v/>
      </c>
      <c r="G130" s="21" t="str">
        <f>IF(PRENDAS!$B95="","",PRENDAS!$H95)</f>
        <v/>
      </c>
      <c r="H130" s="21" t="str">
        <f>IF(PRENDAS!$B95="","",PRENDAS!$I95)</f>
        <v/>
      </c>
      <c r="I130" s="21" t="str">
        <f>IF(PRENDAS!$B95="","",PRENDAS!$J95)</f>
        <v/>
      </c>
      <c r="J130" s="21" t="str">
        <f>IF(PRENDAS!$B95="","",PRENDAS!$P95)</f>
        <v/>
      </c>
    </row>
    <row r="131" ht="15.0" customHeight="1">
      <c r="A131" s="30" t="str">
        <f>IF(PRENDAS!$B96="","",PRENDAS!$A96)</f>
        <v/>
      </c>
      <c r="B131" s="21" t="str">
        <f>IF(PRENDAS!$B96="","",PRENDAS!$B96)</f>
        <v/>
      </c>
      <c r="C131" s="21" t="str">
        <f>IF(PRENDAS!$B96="","",PRENDAS!$D96)</f>
        <v/>
      </c>
      <c r="D131" s="30" t="str">
        <f>IF(PRENDAS!$B96="","",PRENDAS!$E96)</f>
        <v/>
      </c>
      <c r="E131" s="30" t="str">
        <f>IF(PRENDAS!$B96="","",PRENDAS!$F96)</f>
        <v/>
      </c>
      <c r="F131" s="21" t="str">
        <f>IF(PRENDAS!$B96="","",PRENDAS!$G96)</f>
        <v/>
      </c>
      <c r="G131" s="21" t="str">
        <f>IF(PRENDAS!$B96="","",PRENDAS!$H96)</f>
        <v/>
      </c>
      <c r="H131" s="21" t="str">
        <f>IF(PRENDAS!$B96="","",PRENDAS!$I96)</f>
        <v/>
      </c>
      <c r="I131" s="21" t="str">
        <f>IF(PRENDAS!$B96="","",PRENDAS!$J96)</f>
        <v/>
      </c>
      <c r="J131" s="21" t="str">
        <f>IF(PRENDAS!$B96="","",PRENDAS!$P96)</f>
        <v/>
      </c>
    </row>
    <row r="132" ht="15.0" customHeight="1">
      <c r="A132" s="30" t="str">
        <f>IF(PRENDAS!$B97="","",PRENDAS!$A97)</f>
        <v/>
      </c>
      <c r="B132" s="21" t="str">
        <f>IF(PRENDAS!$B97="","",PRENDAS!$B97)</f>
        <v/>
      </c>
      <c r="C132" s="21" t="str">
        <f>IF(PRENDAS!$B97="","",PRENDAS!$D97)</f>
        <v/>
      </c>
      <c r="D132" s="30" t="str">
        <f>IF(PRENDAS!$B97="","",PRENDAS!$E97)</f>
        <v/>
      </c>
      <c r="E132" s="30" t="str">
        <f>IF(PRENDAS!$B97="","",PRENDAS!$F97)</f>
        <v/>
      </c>
      <c r="F132" s="21" t="str">
        <f>IF(PRENDAS!$B97="","",PRENDAS!$G97)</f>
        <v/>
      </c>
      <c r="G132" s="21" t="str">
        <f>IF(PRENDAS!$B97="","",PRENDAS!$H97)</f>
        <v/>
      </c>
      <c r="H132" s="21" t="str">
        <f>IF(PRENDAS!$B97="","",PRENDAS!$I97)</f>
        <v/>
      </c>
      <c r="I132" s="21" t="str">
        <f>IF(PRENDAS!$B97="","",PRENDAS!$J97)</f>
        <v/>
      </c>
      <c r="J132" s="21" t="str">
        <f>IF(PRENDAS!$B97="","",PRENDAS!$P97)</f>
        <v/>
      </c>
    </row>
    <row r="133" ht="15.0" customHeight="1">
      <c r="A133" s="30" t="str">
        <f>IF(PRENDAS!$B98="","",PRENDAS!$A98)</f>
        <v/>
      </c>
      <c r="B133" s="21" t="str">
        <f>IF(PRENDAS!$B98="","",PRENDAS!$B98)</f>
        <v/>
      </c>
      <c r="C133" s="21" t="str">
        <f>IF(PRENDAS!$B98="","",PRENDAS!$D98)</f>
        <v/>
      </c>
      <c r="D133" s="30" t="str">
        <f>IF(PRENDAS!$B98="","",PRENDAS!$E98)</f>
        <v/>
      </c>
      <c r="E133" s="30" t="str">
        <f>IF(PRENDAS!$B98="","",PRENDAS!$F98)</f>
        <v/>
      </c>
      <c r="F133" s="21" t="str">
        <f>IF(PRENDAS!$B98="","",PRENDAS!$G98)</f>
        <v/>
      </c>
      <c r="G133" s="21" t="str">
        <f>IF(PRENDAS!$B98="","",PRENDAS!$H98)</f>
        <v/>
      </c>
      <c r="H133" s="21" t="str">
        <f>IF(PRENDAS!$B98="","",PRENDAS!$I98)</f>
        <v/>
      </c>
      <c r="I133" s="21" t="str">
        <f>IF(PRENDAS!$B98="","",PRENDAS!$J98)</f>
        <v/>
      </c>
      <c r="J133" s="21" t="str">
        <f>IF(PRENDAS!$B98="","",PRENDAS!$P98)</f>
        <v/>
      </c>
    </row>
    <row r="134" ht="15.0" customHeight="1">
      <c r="A134" s="30" t="str">
        <f>IF(PRENDAS!$B99="","",PRENDAS!$A99)</f>
        <v/>
      </c>
      <c r="B134" s="21" t="str">
        <f>IF(PRENDAS!$B99="","",PRENDAS!$B99)</f>
        <v/>
      </c>
      <c r="C134" s="21" t="str">
        <f>IF(PRENDAS!$B99="","",PRENDAS!$D99)</f>
        <v/>
      </c>
      <c r="D134" s="30" t="str">
        <f>IF(PRENDAS!$B99="","",PRENDAS!$E99)</f>
        <v/>
      </c>
      <c r="E134" s="30" t="str">
        <f>IF(PRENDAS!$B99="","",PRENDAS!$F99)</f>
        <v/>
      </c>
      <c r="F134" s="21" t="str">
        <f>IF(PRENDAS!$B99="","",PRENDAS!$G99)</f>
        <v/>
      </c>
      <c r="G134" s="21" t="str">
        <f>IF(PRENDAS!$B99="","",PRENDAS!$H99)</f>
        <v/>
      </c>
      <c r="H134" s="21" t="str">
        <f>IF(PRENDAS!$B99="","",PRENDAS!$I99)</f>
        <v/>
      </c>
      <c r="I134" s="21" t="str">
        <f>IF(PRENDAS!$B99="","",PRENDAS!$J99)</f>
        <v/>
      </c>
      <c r="J134" s="21" t="str">
        <f>IF(PRENDAS!$B99="","",PRENDAS!$P99)</f>
        <v/>
      </c>
    </row>
    <row r="135" ht="15.0" customHeight="1">
      <c r="A135" s="30" t="str">
        <f>IF(PRENDAS!$B100="","",PRENDAS!$A100)</f>
        <v/>
      </c>
      <c r="B135" s="21" t="str">
        <f>IF(PRENDAS!$B100="","",PRENDAS!$B100)</f>
        <v/>
      </c>
      <c r="C135" s="21" t="str">
        <f>IF(PRENDAS!$B100="","",PRENDAS!$D100)</f>
        <v/>
      </c>
      <c r="D135" s="30" t="str">
        <f>IF(PRENDAS!$B100="","",PRENDAS!$E100)</f>
        <v/>
      </c>
      <c r="E135" s="30" t="str">
        <f>IF(PRENDAS!$B100="","",PRENDAS!$F100)</f>
        <v/>
      </c>
      <c r="F135" s="21" t="str">
        <f>IF(PRENDAS!$B100="","",PRENDAS!$G100)</f>
        <v/>
      </c>
      <c r="G135" s="21" t="str">
        <f>IF(PRENDAS!$B100="","",PRENDAS!$H100)</f>
        <v/>
      </c>
      <c r="H135" s="21" t="str">
        <f>IF(PRENDAS!$B100="","",PRENDAS!$I100)</f>
        <v/>
      </c>
      <c r="I135" s="21" t="str">
        <f>IF(PRENDAS!$B100="","",PRENDAS!$J100)</f>
        <v/>
      </c>
      <c r="J135" s="21" t="str">
        <f>IF(PRENDAS!$B100="","",PRENDAS!$P100)</f>
        <v/>
      </c>
    </row>
    <row r="136" ht="15.0" customHeight="1">
      <c r="A136" s="30" t="str">
        <f>IF(PRENDAS!$B101="","",PRENDAS!$A101)</f>
        <v/>
      </c>
      <c r="B136" s="21" t="str">
        <f>IF(PRENDAS!$B101="","",PRENDAS!$B101)</f>
        <v/>
      </c>
      <c r="C136" s="21" t="str">
        <f>IF(PRENDAS!$B101="","",PRENDAS!$D101)</f>
        <v/>
      </c>
      <c r="D136" s="30" t="str">
        <f>IF(PRENDAS!$B101="","",PRENDAS!$E101)</f>
        <v/>
      </c>
      <c r="E136" s="30" t="str">
        <f>IF(PRENDAS!$B101="","",PRENDAS!$F101)</f>
        <v/>
      </c>
      <c r="F136" s="21" t="str">
        <f>IF(PRENDAS!$B101="","",PRENDAS!$G101)</f>
        <v/>
      </c>
      <c r="G136" s="21" t="str">
        <f>IF(PRENDAS!$B101="","",PRENDAS!$H101)</f>
        <v/>
      </c>
      <c r="H136" s="21" t="str">
        <f>IF(PRENDAS!$B101="","",PRENDAS!$I101)</f>
        <v/>
      </c>
      <c r="I136" s="21" t="str">
        <f>IF(PRENDAS!$B101="","",PRENDAS!$J101)</f>
        <v/>
      </c>
      <c r="J136" s="21" t="str">
        <f>IF(PRENDAS!$B101="","",PRENDAS!$P101)</f>
        <v/>
      </c>
    </row>
    <row r="137" ht="15.0" customHeight="1">
      <c r="A137" s="30" t="str">
        <f>IF(PRENDAS!$B102="","",PRENDAS!$A102)</f>
        <v/>
      </c>
      <c r="B137" s="21" t="str">
        <f>IF(PRENDAS!$B102="","",PRENDAS!$B102)</f>
        <v/>
      </c>
      <c r="C137" s="21" t="str">
        <f>IF(PRENDAS!$B102="","",PRENDAS!$D102)</f>
        <v/>
      </c>
      <c r="D137" s="30" t="str">
        <f>IF(PRENDAS!$B102="","",PRENDAS!$E102)</f>
        <v/>
      </c>
      <c r="E137" s="30" t="str">
        <f>IF(PRENDAS!$B102="","",PRENDAS!$F102)</f>
        <v/>
      </c>
      <c r="F137" s="21" t="str">
        <f>IF(PRENDAS!$B102="","",PRENDAS!$G102)</f>
        <v/>
      </c>
      <c r="G137" s="21" t="str">
        <f>IF(PRENDAS!$B102="","",PRENDAS!$H102)</f>
        <v/>
      </c>
      <c r="H137" s="21" t="str">
        <f>IF(PRENDAS!$B102="","",PRENDAS!$I102)</f>
        <v/>
      </c>
      <c r="I137" s="21" t="str">
        <f>IF(PRENDAS!$B102="","",PRENDAS!$J102)</f>
        <v/>
      </c>
      <c r="J137" s="21" t="str">
        <f>IF(PRENDAS!$B102="","",PRENDAS!$P102)</f>
        <v/>
      </c>
    </row>
    <row r="138" ht="15.0" customHeight="1">
      <c r="A138" s="30" t="str">
        <f>IF(PRENDAS!$B103="","",PRENDAS!$A103)</f>
        <v/>
      </c>
      <c r="B138" s="21" t="str">
        <f>IF(PRENDAS!$B103="","",PRENDAS!$B103)</f>
        <v/>
      </c>
      <c r="C138" s="21" t="str">
        <f>IF(PRENDAS!$B103="","",PRENDAS!$D103)</f>
        <v/>
      </c>
      <c r="D138" s="30" t="str">
        <f>IF(PRENDAS!$B103="","",PRENDAS!$E103)</f>
        <v/>
      </c>
      <c r="E138" s="30" t="str">
        <f>IF(PRENDAS!$B103="","",PRENDAS!$F103)</f>
        <v/>
      </c>
      <c r="F138" s="21" t="str">
        <f>IF(PRENDAS!$B103="","",PRENDAS!$G103)</f>
        <v/>
      </c>
      <c r="G138" s="21" t="str">
        <f>IF(PRENDAS!$B103="","",PRENDAS!$H103)</f>
        <v/>
      </c>
      <c r="H138" s="21" t="str">
        <f>IF(PRENDAS!$B103="","",PRENDAS!$I103)</f>
        <v/>
      </c>
      <c r="I138" s="21" t="str">
        <f>IF(PRENDAS!$B103="","",PRENDAS!$J103)</f>
        <v/>
      </c>
      <c r="J138" s="21" t="str">
        <f>IF(PRENDAS!$B103="","",PRENDAS!$P103)</f>
        <v/>
      </c>
    </row>
    <row r="139" ht="15.0" customHeight="1">
      <c r="A139" s="30" t="str">
        <f>IF(PRENDAS!$B104="","",PRENDAS!$A104)</f>
        <v/>
      </c>
      <c r="B139" s="21" t="str">
        <f>IF(PRENDAS!$B104="","",PRENDAS!$B104)</f>
        <v/>
      </c>
      <c r="C139" s="21" t="str">
        <f>IF(PRENDAS!$B104="","",PRENDAS!$D104)</f>
        <v/>
      </c>
      <c r="D139" s="30" t="str">
        <f>IF(PRENDAS!$B104="","",PRENDAS!$E104)</f>
        <v/>
      </c>
      <c r="E139" s="30" t="str">
        <f>IF(PRENDAS!$B104="","",PRENDAS!$F104)</f>
        <v/>
      </c>
      <c r="F139" s="21" t="str">
        <f>IF(PRENDAS!$B104="","",PRENDAS!$G104)</f>
        <v/>
      </c>
      <c r="G139" s="21" t="str">
        <f>IF(PRENDAS!$B104="","",PRENDAS!$H104)</f>
        <v/>
      </c>
      <c r="H139" s="21" t="str">
        <f>IF(PRENDAS!$B104="","",PRENDAS!$I104)</f>
        <v/>
      </c>
      <c r="I139" s="21" t="str">
        <f>IF(PRENDAS!$B104="","",PRENDAS!$J104)</f>
        <v/>
      </c>
      <c r="J139" s="21" t="str">
        <f>IF(PRENDAS!$B104="","",PRENDAS!$P104)</f>
        <v/>
      </c>
    </row>
    <row r="140" ht="15.0" customHeight="1">
      <c r="A140" s="30" t="str">
        <f>IF(PRENDAS!$B105="","",PRENDAS!$A105)</f>
        <v/>
      </c>
      <c r="B140" s="21" t="str">
        <f>IF(PRENDAS!$B105="","",PRENDAS!$B105)</f>
        <v/>
      </c>
      <c r="C140" s="21" t="str">
        <f>IF(PRENDAS!$B105="","",PRENDAS!$D105)</f>
        <v/>
      </c>
      <c r="D140" s="30" t="str">
        <f>IF(PRENDAS!$B105="","",PRENDAS!$E105)</f>
        <v/>
      </c>
      <c r="E140" s="30" t="str">
        <f>IF(PRENDAS!$B105="","",PRENDAS!$F105)</f>
        <v/>
      </c>
      <c r="F140" s="21" t="str">
        <f>IF(PRENDAS!$B105="","",PRENDAS!$G105)</f>
        <v/>
      </c>
      <c r="G140" s="21" t="str">
        <f>IF(PRENDAS!$B105="","",PRENDAS!$H105)</f>
        <v/>
      </c>
      <c r="H140" s="21" t="str">
        <f>IF(PRENDAS!$B105="","",PRENDAS!$I105)</f>
        <v/>
      </c>
      <c r="I140" s="21" t="str">
        <f>IF(PRENDAS!$B105="","",PRENDAS!$J105)</f>
        <v/>
      </c>
      <c r="J140" s="21" t="str">
        <f>IF(PRENDAS!$B105="","",PRENDAS!$P105)</f>
        <v/>
      </c>
    </row>
    <row r="141" ht="15.0" customHeight="1">
      <c r="A141" s="30" t="str">
        <f>IF(PRENDAS!$B106="","",PRENDAS!$A106)</f>
        <v/>
      </c>
      <c r="B141" s="21" t="str">
        <f>IF(PRENDAS!$B106="","",PRENDAS!$B106)</f>
        <v/>
      </c>
      <c r="C141" s="21" t="str">
        <f>IF(PRENDAS!$B106="","",PRENDAS!$D106)</f>
        <v/>
      </c>
      <c r="D141" s="30" t="str">
        <f>IF(PRENDAS!$B106="","",PRENDAS!$E106)</f>
        <v/>
      </c>
      <c r="E141" s="30" t="str">
        <f>IF(PRENDAS!$B106="","",PRENDAS!$F106)</f>
        <v/>
      </c>
      <c r="F141" s="21" t="str">
        <f>IF(PRENDAS!$B106="","",PRENDAS!$G106)</f>
        <v/>
      </c>
      <c r="G141" s="21" t="str">
        <f>IF(PRENDAS!$B106="","",PRENDAS!$H106)</f>
        <v/>
      </c>
      <c r="H141" s="21" t="str">
        <f>IF(PRENDAS!$B106="","",PRENDAS!$I106)</f>
        <v/>
      </c>
      <c r="I141" s="21" t="str">
        <f>IF(PRENDAS!$B106="","",PRENDAS!$J106)</f>
        <v/>
      </c>
      <c r="J141" s="21" t="str">
        <f>IF(PRENDAS!$B106="","",PRENDAS!$P106)</f>
        <v/>
      </c>
    </row>
    <row r="142" ht="15.0" customHeight="1">
      <c r="A142" s="30" t="str">
        <f>IF(PRENDAS!$B107="","",PRENDAS!$A107)</f>
        <v/>
      </c>
      <c r="B142" s="21" t="str">
        <f>IF(PRENDAS!$B107="","",PRENDAS!$B107)</f>
        <v/>
      </c>
      <c r="C142" s="21" t="str">
        <f>IF(PRENDAS!$B107="","",PRENDAS!$D107)</f>
        <v/>
      </c>
      <c r="D142" s="30" t="str">
        <f>IF(PRENDAS!$B107="","",PRENDAS!$E107)</f>
        <v/>
      </c>
      <c r="E142" s="30" t="str">
        <f>IF(PRENDAS!$B107="","",PRENDAS!$F107)</f>
        <v/>
      </c>
      <c r="F142" s="21" t="str">
        <f>IF(PRENDAS!$B107="","",PRENDAS!$G107)</f>
        <v/>
      </c>
      <c r="G142" s="21" t="str">
        <f>IF(PRENDAS!$B107="","",PRENDAS!$H107)</f>
        <v/>
      </c>
      <c r="H142" s="21" t="str">
        <f>IF(PRENDAS!$B107="","",PRENDAS!$I107)</f>
        <v/>
      </c>
      <c r="I142" s="21" t="str">
        <f>IF(PRENDAS!$B107="","",PRENDAS!$J107)</f>
        <v/>
      </c>
      <c r="J142" s="21" t="str">
        <f>IF(PRENDAS!$B107="","",PRENDAS!$P107)</f>
        <v/>
      </c>
    </row>
    <row r="143" ht="15.0" customHeight="1">
      <c r="A143" s="30" t="str">
        <f>IF(PRENDAS!$B108="","",PRENDAS!$A108)</f>
        <v/>
      </c>
      <c r="B143" s="21" t="str">
        <f>IF(PRENDAS!$B108="","",PRENDAS!$B108)</f>
        <v/>
      </c>
      <c r="C143" s="21" t="str">
        <f>IF(PRENDAS!$B108="","",PRENDAS!$D108)</f>
        <v/>
      </c>
      <c r="D143" s="30" t="str">
        <f>IF(PRENDAS!$B108="","",PRENDAS!$E108)</f>
        <v/>
      </c>
      <c r="E143" s="30" t="str">
        <f>IF(PRENDAS!$B108="","",PRENDAS!$F108)</f>
        <v/>
      </c>
      <c r="F143" s="21" t="str">
        <f>IF(PRENDAS!$B108="","",PRENDAS!$G108)</f>
        <v/>
      </c>
      <c r="G143" s="21" t="str">
        <f>IF(PRENDAS!$B108="","",PRENDAS!$H108)</f>
        <v/>
      </c>
      <c r="H143" s="21" t="str">
        <f>IF(PRENDAS!$B108="","",PRENDAS!$I108)</f>
        <v/>
      </c>
      <c r="I143" s="21" t="str">
        <f>IF(PRENDAS!$B108="","",PRENDAS!$J108)</f>
        <v/>
      </c>
      <c r="J143" s="21" t="str">
        <f>IF(PRENDAS!$B108="","",PRENDAS!$P108)</f>
        <v/>
      </c>
    </row>
    <row r="144" ht="15.0" customHeight="1">
      <c r="A144" s="30" t="str">
        <f>IF(PRENDAS!$B109="","",PRENDAS!$A109)</f>
        <v/>
      </c>
      <c r="B144" s="21" t="str">
        <f>IF(PRENDAS!$B109="","",PRENDAS!$B109)</f>
        <v/>
      </c>
      <c r="C144" s="21" t="str">
        <f>IF(PRENDAS!$B109="","",PRENDAS!$D109)</f>
        <v/>
      </c>
      <c r="D144" s="30" t="str">
        <f>IF(PRENDAS!$B109="","",PRENDAS!$E109)</f>
        <v/>
      </c>
      <c r="E144" s="30" t="str">
        <f>IF(PRENDAS!$B109="","",PRENDAS!$F109)</f>
        <v/>
      </c>
      <c r="F144" s="21" t="str">
        <f>IF(PRENDAS!$B109="","",PRENDAS!$G109)</f>
        <v/>
      </c>
      <c r="G144" s="21" t="str">
        <f>IF(PRENDAS!$B109="","",PRENDAS!$H109)</f>
        <v/>
      </c>
      <c r="H144" s="21" t="str">
        <f>IF(PRENDAS!$B109="","",PRENDAS!$I109)</f>
        <v/>
      </c>
      <c r="I144" s="21" t="str">
        <f>IF(PRENDAS!$B109="","",PRENDAS!$J109)</f>
        <v/>
      </c>
      <c r="J144" s="21" t="str">
        <f>IF(PRENDAS!$B109="","",PRENDAS!$P109)</f>
        <v/>
      </c>
    </row>
    <row r="145" ht="15.0" customHeight="1">
      <c r="A145" s="30" t="str">
        <f>IF(PRENDAS!$B110="","",PRENDAS!$A110)</f>
        <v/>
      </c>
      <c r="B145" s="21" t="str">
        <f>IF(PRENDAS!$B110="","",PRENDAS!$B110)</f>
        <v/>
      </c>
      <c r="C145" s="21" t="str">
        <f>IF(PRENDAS!$B110="","",PRENDAS!$D110)</f>
        <v/>
      </c>
      <c r="D145" s="30" t="str">
        <f>IF(PRENDAS!$B110="","",PRENDAS!$E110)</f>
        <v/>
      </c>
      <c r="E145" s="30" t="str">
        <f>IF(PRENDAS!$B110="","",PRENDAS!$F110)</f>
        <v/>
      </c>
      <c r="F145" s="21" t="str">
        <f>IF(PRENDAS!$B110="","",PRENDAS!$G110)</f>
        <v/>
      </c>
      <c r="G145" s="21" t="str">
        <f>IF(PRENDAS!$B110="","",PRENDAS!$H110)</f>
        <v/>
      </c>
      <c r="H145" s="21" t="str">
        <f>IF(PRENDAS!$B110="","",PRENDAS!$I110)</f>
        <v/>
      </c>
      <c r="I145" s="21" t="str">
        <f>IF(PRENDAS!$B110="","",PRENDAS!$J110)</f>
        <v/>
      </c>
      <c r="J145" s="21" t="str">
        <f>IF(PRENDAS!$B110="","",PRENDAS!$P110)</f>
        <v/>
      </c>
    </row>
    <row r="146" ht="15.0" customHeight="1">
      <c r="A146" s="30" t="str">
        <f>IF(PRENDAS!$B111="","",PRENDAS!$A111)</f>
        <v/>
      </c>
      <c r="B146" s="21" t="str">
        <f>IF(PRENDAS!$B111="","",PRENDAS!$B111)</f>
        <v/>
      </c>
      <c r="C146" s="21" t="str">
        <f>IF(PRENDAS!$B111="","",PRENDAS!$D111)</f>
        <v/>
      </c>
      <c r="D146" s="30" t="str">
        <f>IF(PRENDAS!$B111="","",PRENDAS!$E111)</f>
        <v/>
      </c>
      <c r="E146" s="30" t="str">
        <f>IF(PRENDAS!$B111="","",PRENDAS!$F111)</f>
        <v/>
      </c>
      <c r="F146" s="21" t="str">
        <f>IF(PRENDAS!$B111="","",PRENDAS!$G111)</f>
        <v/>
      </c>
      <c r="G146" s="21" t="str">
        <f>IF(PRENDAS!$B111="","",PRENDAS!$H111)</f>
        <v/>
      </c>
      <c r="H146" s="21" t="str">
        <f>IF(PRENDAS!$B111="","",PRENDAS!$I111)</f>
        <v/>
      </c>
      <c r="I146" s="21" t="str">
        <f>IF(PRENDAS!$B111="","",PRENDAS!$J111)</f>
        <v/>
      </c>
      <c r="J146" s="21" t="str">
        <f>IF(PRENDAS!$B111="","",PRENDAS!$P111)</f>
        <v/>
      </c>
    </row>
    <row r="147" ht="15.0" customHeight="1">
      <c r="A147" s="30" t="str">
        <f>IF(PRENDAS!$B112="","",PRENDAS!$A112)</f>
        <v/>
      </c>
      <c r="B147" s="21" t="str">
        <f>IF(PRENDAS!$B112="","",PRENDAS!$B112)</f>
        <v/>
      </c>
      <c r="C147" s="21" t="str">
        <f>IF(PRENDAS!$B112="","",PRENDAS!$D112)</f>
        <v/>
      </c>
      <c r="D147" s="30" t="str">
        <f>IF(PRENDAS!$B112="","",PRENDAS!$E112)</f>
        <v/>
      </c>
      <c r="E147" s="30" t="str">
        <f>IF(PRENDAS!$B112="","",PRENDAS!$F112)</f>
        <v/>
      </c>
      <c r="F147" s="21" t="str">
        <f>IF(PRENDAS!$B112="","",PRENDAS!$G112)</f>
        <v/>
      </c>
      <c r="G147" s="21" t="str">
        <f>IF(PRENDAS!$B112="","",PRENDAS!$H112)</f>
        <v/>
      </c>
      <c r="H147" s="21" t="str">
        <f>IF(PRENDAS!$B112="","",PRENDAS!$I112)</f>
        <v/>
      </c>
      <c r="I147" s="21" t="str">
        <f>IF(PRENDAS!$B112="","",PRENDAS!$J112)</f>
        <v/>
      </c>
      <c r="J147" s="21" t="str">
        <f>IF(PRENDAS!$B112="","",PRENDAS!$P112)</f>
        <v/>
      </c>
    </row>
    <row r="148" ht="15.0" customHeight="1">
      <c r="A148" s="30" t="str">
        <f>IF(PRENDAS!$B113="","",PRENDAS!$A113)</f>
        <v/>
      </c>
      <c r="B148" s="21" t="str">
        <f>IF(PRENDAS!$B113="","",PRENDAS!$B113)</f>
        <v/>
      </c>
      <c r="C148" s="21" t="str">
        <f>IF(PRENDAS!$B113="","",PRENDAS!$D113)</f>
        <v/>
      </c>
      <c r="D148" s="30" t="str">
        <f>IF(PRENDAS!$B113="","",PRENDAS!$E113)</f>
        <v/>
      </c>
      <c r="E148" s="30" t="str">
        <f>IF(PRENDAS!$B113="","",PRENDAS!$F113)</f>
        <v/>
      </c>
      <c r="F148" s="21" t="str">
        <f>IF(PRENDAS!$B113="","",PRENDAS!$G113)</f>
        <v/>
      </c>
      <c r="G148" s="21" t="str">
        <f>IF(PRENDAS!$B113="","",PRENDAS!$H113)</f>
        <v/>
      </c>
      <c r="H148" s="21" t="str">
        <f>IF(PRENDAS!$B113="","",PRENDAS!$I113)</f>
        <v/>
      </c>
      <c r="I148" s="21" t="str">
        <f>IF(PRENDAS!$B113="","",PRENDAS!$J113)</f>
        <v/>
      </c>
      <c r="J148" s="21" t="str">
        <f>IF(PRENDAS!$B113="","",PRENDAS!$P113)</f>
        <v/>
      </c>
    </row>
    <row r="149" ht="15.0" customHeight="1">
      <c r="A149" s="30" t="str">
        <f>IF(PRENDAS!$B114="","",PRENDAS!$A114)</f>
        <v/>
      </c>
      <c r="B149" s="21" t="str">
        <f>IF(PRENDAS!$B114="","",PRENDAS!$B114)</f>
        <v/>
      </c>
      <c r="C149" s="21" t="str">
        <f>IF(PRENDAS!$B114="","",PRENDAS!$D114)</f>
        <v/>
      </c>
      <c r="D149" s="30" t="str">
        <f>IF(PRENDAS!$B114="","",PRENDAS!$E114)</f>
        <v/>
      </c>
      <c r="E149" s="30" t="str">
        <f>IF(PRENDAS!$B114="","",PRENDAS!$F114)</f>
        <v/>
      </c>
      <c r="F149" s="21" t="str">
        <f>IF(PRENDAS!$B114="","",PRENDAS!$G114)</f>
        <v/>
      </c>
      <c r="G149" s="21" t="str">
        <f>IF(PRENDAS!$B114="","",PRENDAS!$H114)</f>
        <v/>
      </c>
      <c r="H149" s="21" t="str">
        <f>IF(PRENDAS!$B114="","",PRENDAS!$I114)</f>
        <v/>
      </c>
      <c r="I149" s="21" t="str">
        <f>IF(PRENDAS!$B114="","",PRENDAS!$J114)</f>
        <v/>
      </c>
      <c r="J149" s="21" t="str">
        <f>IF(PRENDAS!$B114="","",PRENDAS!$P114)</f>
        <v/>
      </c>
    </row>
    <row r="150" ht="15.0" customHeight="1">
      <c r="A150" s="30" t="str">
        <f>IF(PRENDAS!$B115="","",PRENDAS!$A115)</f>
        <v/>
      </c>
      <c r="B150" s="21" t="str">
        <f>IF(PRENDAS!$B115="","",PRENDAS!$B115)</f>
        <v/>
      </c>
      <c r="C150" s="21" t="str">
        <f>IF(PRENDAS!$B115="","",PRENDAS!$D115)</f>
        <v/>
      </c>
      <c r="D150" s="30" t="str">
        <f>IF(PRENDAS!$B115="","",PRENDAS!$E115)</f>
        <v/>
      </c>
      <c r="E150" s="30" t="str">
        <f>IF(PRENDAS!$B115="","",PRENDAS!$F115)</f>
        <v/>
      </c>
      <c r="F150" s="21" t="str">
        <f>IF(PRENDAS!$B115="","",PRENDAS!$G115)</f>
        <v/>
      </c>
      <c r="G150" s="21" t="str">
        <f>IF(PRENDAS!$B115="","",PRENDAS!$H115)</f>
        <v/>
      </c>
      <c r="H150" s="21" t="str">
        <f>IF(PRENDAS!$B115="","",PRENDAS!$I115)</f>
        <v/>
      </c>
      <c r="I150" s="21" t="str">
        <f>IF(PRENDAS!$B115="","",PRENDAS!$J115)</f>
        <v/>
      </c>
      <c r="J150" s="21" t="str">
        <f>IF(PRENDAS!$B115="","",PRENDAS!$P115)</f>
        <v/>
      </c>
    </row>
    <row r="151" ht="15.0" customHeight="1">
      <c r="A151" s="30" t="str">
        <f>IF(PRENDAS!$B116="","",PRENDAS!$A116)</f>
        <v/>
      </c>
      <c r="B151" s="21" t="str">
        <f>IF(PRENDAS!$B116="","",PRENDAS!$B116)</f>
        <v/>
      </c>
      <c r="C151" s="21" t="str">
        <f>IF(PRENDAS!$B116="","",PRENDAS!$D116)</f>
        <v/>
      </c>
      <c r="D151" s="30" t="str">
        <f>IF(PRENDAS!$B116="","",PRENDAS!$E116)</f>
        <v/>
      </c>
      <c r="E151" s="30" t="str">
        <f>IF(PRENDAS!$B116="","",PRENDAS!$F116)</f>
        <v/>
      </c>
      <c r="F151" s="21" t="str">
        <f>IF(PRENDAS!$B116="","",PRENDAS!$G116)</f>
        <v/>
      </c>
      <c r="G151" s="21" t="str">
        <f>IF(PRENDAS!$B116="","",PRENDAS!$H116)</f>
        <v/>
      </c>
      <c r="H151" s="21" t="str">
        <f>IF(PRENDAS!$B116="","",PRENDAS!$I116)</f>
        <v/>
      </c>
      <c r="I151" s="21" t="str">
        <f>IF(PRENDAS!$B116="","",PRENDAS!$J116)</f>
        <v/>
      </c>
      <c r="J151" s="21" t="str">
        <f>IF(PRENDAS!$B116="","",PRENDAS!$P116)</f>
        <v/>
      </c>
    </row>
    <row r="152" ht="15.0" customHeight="1">
      <c r="A152" s="30" t="str">
        <f>IF(PRENDAS!$B117="","",PRENDAS!$A117)</f>
        <v/>
      </c>
      <c r="B152" s="21" t="str">
        <f>IF(PRENDAS!$B117="","",PRENDAS!$B117)</f>
        <v/>
      </c>
      <c r="C152" s="21" t="str">
        <f>IF(PRENDAS!$B117="","",PRENDAS!$D117)</f>
        <v/>
      </c>
      <c r="D152" s="30" t="str">
        <f>IF(PRENDAS!$B117="","",PRENDAS!$E117)</f>
        <v/>
      </c>
      <c r="E152" s="30" t="str">
        <f>IF(PRENDAS!$B117="","",PRENDAS!$F117)</f>
        <v/>
      </c>
      <c r="F152" s="21" t="str">
        <f>IF(PRENDAS!$B117="","",PRENDAS!$G117)</f>
        <v/>
      </c>
      <c r="G152" s="21" t="str">
        <f>IF(PRENDAS!$B117="","",PRENDAS!$H117)</f>
        <v/>
      </c>
      <c r="H152" s="21" t="str">
        <f>IF(PRENDAS!$B117="","",PRENDAS!$I117)</f>
        <v/>
      </c>
      <c r="I152" s="21" t="str">
        <f>IF(PRENDAS!$B117="","",PRENDAS!$J117)</f>
        <v/>
      </c>
      <c r="J152" s="21" t="str">
        <f>IF(PRENDAS!$B117="","",PRENDAS!$P117)</f>
        <v/>
      </c>
    </row>
    <row r="153" ht="15.0" customHeight="1">
      <c r="A153" s="30" t="str">
        <f>IF(PRENDAS!$B118="","",PRENDAS!$A118)</f>
        <v/>
      </c>
      <c r="B153" s="21" t="str">
        <f>IF(PRENDAS!$B118="","",PRENDAS!$B118)</f>
        <v/>
      </c>
      <c r="C153" s="21" t="str">
        <f>IF(PRENDAS!$B118="","",PRENDAS!$D118)</f>
        <v/>
      </c>
      <c r="D153" s="30" t="str">
        <f>IF(PRENDAS!$B118="","",PRENDAS!$E118)</f>
        <v/>
      </c>
      <c r="E153" s="30" t="str">
        <f>IF(PRENDAS!$B118="","",PRENDAS!$F118)</f>
        <v/>
      </c>
      <c r="F153" s="21" t="str">
        <f>IF(PRENDAS!$B118="","",PRENDAS!$G118)</f>
        <v/>
      </c>
      <c r="G153" s="21" t="str">
        <f>IF(PRENDAS!$B118="","",PRENDAS!$H118)</f>
        <v/>
      </c>
      <c r="H153" s="21" t="str">
        <f>IF(PRENDAS!$B118="","",PRENDAS!$I118)</f>
        <v/>
      </c>
      <c r="I153" s="21" t="str">
        <f>IF(PRENDAS!$B118="","",PRENDAS!$J118)</f>
        <v/>
      </c>
      <c r="J153" s="21" t="str">
        <f>IF(PRENDAS!$B118="","",PRENDAS!$P118)</f>
        <v/>
      </c>
    </row>
    <row r="154" ht="15.0" customHeight="1">
      <c r="A154" s="30" t="str">
        <f>IF(PRENDAS!$B119="","",PRENDAS!$A119)</f>
        <v/>
      </c>
      <c r="B154" s="21" t="str">
        <f>IF(PRENDAS!$B119="","",PRENDAS!$B119)</f>
        <v/>
      </c>
      <c r="C154" s="21" t="str">
        <f>IF(PRENDAS!$B119="","",PRENDAS!$D119)</f>
        <v/>
      </c>
      <c r="D154" s="30" t="str">
        <f>IF(PRENDAS!$B119="","",PRENDAS!$E119)</f>
        <v/>
      </c>
      <c r="E154" s="30" t="str">
        <f>IF(PRENDAS!$B119="","",PRENDAS!$F119)</f>
        <v/>
      </c>
      <c r="F154" s="21" t="str">
        <f>IF(PRENDAS!$B119="","",PRENDAS!$G119)</f>
        <v/>
      </c>
      <c r="G154" s="21" t="str">
        <f>IF(PRENDAS!$B119="","",PRENDAS!$H119)</f>
        <v/>
      </c>
      <c r="H154" s="21" t="str">
        <f>IF(PRENDAS!$B119="","",PRENDAS!$I119)</f>
        <v/>
      </c>
      <c r="I154" s="21" t="str">
        <f>IF(PRENDAS!$B119="","",PRENDAS!$J119)</f>
        <v/>
      </c>
      <c r="J154" s="21" t="str">
        <f>IF(PRENDAS!$B119="","",PRENDAS!$P119)</f>
        <v/>
      </c>
    </row>
    <row r="155" ht="15.0" customHeight="1">
      <c r="A155" s="30" t="str">
        <f>IF(PRENDAS!$B120="","",PRENDAS!$A120)</f>
        <v/>
      </c>
      <c r="B155" s="21" t="str">
        <f>IF(PRENDAS!$B120="","",PRENDAS!$B120)</f>
        <v/>
      </c>
      <c r="C155" s="21" t="str">
        <f>IF(PRENDAS!$B120="","",PRENDAS!$D120)</f>
        <v/>
      </c>
      <c r="D155" s="30" t="str">
        <f>IF(PRENDAS!$B120="","",PRENDAS!$E120)</f>
        <v/>
      </c>
      <c r="E155" s="30" t="str">
        <f>IF(PRENDAS!$B120="","",PRENDAS!$F120)</f>
        <v/>
      </c>
      <c r="F155" s="21" t="str">
        <f>IF(PRENDAS!$B120="","",PRENDAS!$G120)</f>
        <v/>
      </c>
      <c r="G155" s="21" t="str">
        <f>IF(PRENDAS!$B120="","",PRENDAS!$H120)</f>
        <v/>
      </c>
      <c r="H155" s="21" t="str">
        <f>IF(PRENDAS!$B120="","",PRENDAS!$I120)</f>
        <v/>
      </c>
      <c r="I155" s="21" t="str">
        <f>IF(PRENDAS!$B120="","",PRENDAS!$J120)</f>
        <v/>
      </c>
      <c r="J155" s="21" t="str">
        <f>IF(PRENDAS!$B120="","",PRENDAS!$P120)</f>
        <v/>
      </c>
    </row>
    <row r="156" ht="15.0" customHeight="1">
      <c r="A156" s="30" t="str">
        <f>IF(PRENDAS!$B121="","",PRENDAS!$A121)</f>
        <v/>
      </c>
      <c r="B156" s="21" t="str">
        <f>IF(PRENDAS!$B121="","",PRENDAS!$B121)</f>
        <v/>
      </c>
      <c r="C156" s="21" t="str">
        <f>IF(PRENDAS!$B121="","",PRENDAS!$D121)</f>
        <v/>
      </c>
      <c r="D156" s="30" t="str">
        <f>IF(PRENDAS!$B121="","",PRENDAS!$E121)</f>
        <v/>
      </c>
      <c r="E156" s="30" t="str">
        <f>IF(PRENDAS!$B121="","",PRENDAS!$F121)</f>
        <v/>
      </c>
      <c r="F156" s="21" t="str">
        <f>IF(PRENDAS!$B121="","",PRENDAS!$G121)</f>
        <v/>
      </c>
      <c r="G156" s="21" t="str">
        <f>IF(PRENDAS!$B121="","",PRENDAS!$H121)</f>
        <v/>
      </c>
      <c r="H156" s="21" t="str">
        <f>IF(PRENDAS!$B121="","",PRENDAS!$I121)</f>
        <v/>
      </c>
      <c r="I156" s="21" t="str">
        <f>IF(PRENDAS!$B121="","",PRENDAS!$J121)</f>
        <v/>
      </c>
      <c r="J156" s="21" t="str">
        <f>IF(PRENDAS!$B121="","",PRENDAS!$P121)</f>
        <v/>
      </c>
    </row>
    <row r="157" ht="15.0" customHeight="1">
      <c r="A157" s="30" t="str">
        <f>IF(PRENDAS!$B122="","",PRENDAS!$A122)</f>
        <v/>
      </c>
      <c r="B157" s="21" t="str">
        <f>IF(PRENDAS!$B122="","",PRENDAS!$B122)</f>
        <v/>
      </c>
      <c r="C157" s="21" t="str">
        <f>IF(PRENDAS!$B122="","",PRENDAS!$D122)</f>
        <v/>
      </c>
      <c r="D157" s="30" t="str">
        <f>IF(PRENDAS!$B122="","",PRENDAS!$E122)</f>
        <v/>
      </c>
      <c r="E157" s="30" t="str">
        <f>IF(PRENDAS!$B122="","",PRENDAS!$F122)</f>
        <v/>
      </c>
      <c r="F157" s="21" t="str">
        <f>IF(PRENDAS!$B122="","",PRENDAS!$G122)</f>
        <v/>
      </c>
      <c r="G157" s="21" t="str">
        <f>IF(PRENDAS!$B122="","",PRENDAS!$H122)</f>
        <v/>
      </c>
      <c r="H157" s="21" t="str">
        <f>IF(PRENDAS!$B122="","",PRENDAS!$I122)</f>
        <v/>
      </c>
      <c r="I157" s="21" t="str">
        <f>IF(PRENDAS!$B122="","",PRENDAS!$J122)</f>
        <v/>
      </c>
      <c r="J157" s="21" t="str">
        <f>IF(PRENDAS!$B122="","",PRENDAS!$P122)</f>
        <v/>
      </c>
    </row>
    <row r="158" ht="15.0" customHeight="1">
      <c r="A158" s="30" t="str">
        <f>IF(PRENDAS!$B123="","",PRENDAS!$A123)</f>
        <v/>
      </c>
      <c r="B158" s="21" t="str">
        <f>IF(PRENDAS!$B123="","",PRENDAS!$B123)</f>
        <v/>
      </c>
      <c r="C158" s="21" t="str">
        <f>IF(PRENDAS!$B123="","",PRENDAS!$D123)</f>
        <v/>
      </c>
      <c r="D158" s="30" t="str">
        <f>IF(PRENDAS!$B123="","",PRENDAS!$E123)</f>
        <v/>
      </c>
      <c r="E158" s="30" t="str">
        <f>IF(PRENDAS!$B123="","",PRENDAS!$F123)</f>
        <v/>
      </c>
      <c r="F158" s="21" t="str">
        <f>IF(PRENDAS!$B123="","",PRENDAS!$G123)</f>
        <v/>
      </c>
      <c r="G158" s="21" t="str">
        <f>IF(PRENDAS!$B123="","",PRENDAS!$H123)</f>
        <v/>
      </c>
      <c r="H158" s="21" t="str">
        <f>IF(PRENDAS!$B123="","",PRENDAS!$I123)</f>
        <v/>
      </c>
      <c r="I158" s="21" t="str">
        <f>IF(PRENDAS!$B123="","",PRENDAS!$J123)</f>
        <v/>
      </c>
      <c r="J158" s="21" t="str">
        <f>IF(PRENDAS!$B123="","",PRENDAS!$P123)</f>
        <v/>
      </c>
    </row>
    <row r="159" ht="15.0" customHeight="1">
      <c r="A159" s="30" t="str">
        <f>IF(PRENDAS!$B124="","",PRENDAS!$A124)</f>
        <v/>
      </c>
      <c r="B159" s="21" t="str">
        <f>IF(PRENDAS!$B124="","",PRENDAS!$B124)</f>
        <v/>
      </c>
      <c r="C159" s="21" t="str">
        <f>IF(PRENDAS!$B124="","",PRENDAS!$D124)</f>
        <v/>
      </c>
      <c r="D159" s="30" t="str">
        <f>IF(PRENDAS!$B124="","",PRENDAS!$E124)</f>
        <v/>
      </c>
      <c r="E159" s="30" t="str">
        <f>IF(PRENDAS!$B124="","",PRENDAS!$F124)</f>
        <v/>
      </c>
      <c r="F159" s="21" t="str">
        <f>IF(PRENDAS!$B124="","",PRENDAS!$G124)</f>
        <v/>
      </c>
      <c r="G159" s="21" t="str">
        <f>IF(PRENDAS!$B124="","",PRENDAS!$H124)</f>
        <v/>
      </c>
      <c r="H159" s="21" t="str">
        <f>IF(PRENDAS!$B124="","",PRENDAS!$I124)</f>
        <v/>
      </c>
      <c r="I159" s="21" t="str">
        <f>IF(PRENDAS!$B124="","",PRENDAS!$J124)</f>
        <v/>
      </c>
      <c r="J159" s="21" t="str">
        <f>IF(PRENDAS!$B124="","",PRENDAS!$P124)</f>
        <v/>
      </c>
    </row>
    <row r="160" ht="15.0" customHeight="1">
      <c r="A160" s="30" t="str">
        <f>IF(PRENDAS!$B125="","",PRENDAS!$A125)</f>
        <v/>
      </c>
      <c r="B160" s="21" t="str">
        <f>IF(PRENDAS!$B125="","",PRENDAS!$B125)</f>
        <v/>
      </c>
      <c r="C160" s="21" t="str">
        <f>IF(PRENDAS!$B125="","",PRENDAS!$D125)</f>
        <v/>
      </c>
      <c r="D160" s="30" t="str">
        <f>IF(PRENDAS!$B125="","",PRENDAS!$E125)</f>
        <v/>
      </c>
      <c r="E160" s="30" t="str">
        <f>IF(PRENDAS!$B125="","",PRENDAS!$F125)</f>
        <v/>
      </c>
      <c r="F160" s="21" t="str">
        <f>IF(PRENDAS!$B125="","",PRENDAS!$G125)</f>
        <v/>
      </c>
      <c r="G160" s="21" t="str">
        <f>IF(PRENDAS!$B125="","",PRENDAS!$H125)</f>
        <v/>
      </c>
      <c r="H160" s="21" t="str">
        <f>IF(PRENDAS!$B125="","",PRENDAS!$I125)</f>
        <v/>
      </c>
      <c r="I160" s="21" t="str">
        <f>IF(PRENDAS!$B125="","",PRENDAS!$J125)</f>
        <v/>
      </c>
      <c r="J160" s="21" t="str">
        <f>IF(PRENDAS!$B125="","",PRENDAS!$P125)</f>
        <v/>
      </c>
    </row>
    <row r="161" ht="15.0" customHeight="1">
      <c r="A161" s="30" t="str">
        <f>IF(PRENDAS!$B126="","",PRENDAS!$A126)</f>
        <v/>
      </c>
      <c r="B161" s="21" t="str">
        <f>IF(PRENDAS!$B126="","",PRENDAS!$B126)</f>
        <v/>
      </c>
      <c r="C161" s="21" t="str">
        <f>IF(PRENDAS!$B126="","",PRENDAS!$D126)</f>
        <v/>
      </c>
      <c r="D161" s="30" t="str">
        <f>IF(PRENDAS!$B126="","",PRENDAS!$E126)</f>
        <v/>
      </c>
      <c r="E161" s="30" t="str">
        <f>IF(PRENDAS!$B126="","",PRENDAS!$F126)</f>
        <v/>
      </c>
      <c r="F161" s="21" t="str">
        <f>IF(PRENDAS!$B126="","",PRENDAS!$G126)</f>
        <v/>
      </c>
      <c r="G161" s="21" t="str">
        <f>IF(PRENDAS!$B126="","",PRENDAS!$H126)</f>
        <v/>
      </c>
      <c r="H161" s="21" t="str">
        <f>IF(PRENDAS!$B126="","",PRENDAS!$I126)</f>
        <v/>
      </c>
      <c r="I161" s="21" t="str">
        <f>IF(PRENDAS!$B126="","",PRENDAS!$J126)</f>
        <v/>
      </c>
      <c r="J161" s="21" t="str">
        <f>IF(PRENDAS!$B126="","",PRENDAS!$P126)</f>
        <v/>
      </c>
    </row>
    <row r="162" ht="15.0" customHeight="1">
      <c r="A162" s="30" t="str">
        <f>IF(PRENDAS!$B127="","",PRENDAS!$A127)</f>
        <v/>
      </c>
      <c r="B162" s="21" t="str">
        <f>IF(PRENDAS!$B127="","",PRENDAS!$B127)</f>
        <v/>
      </c>
      <c r="C162" s="21" t="str">
        <f>IF(PRENDAS!$B127="","",PRENDAS!$D127)</f>
        <v/>
      </c>
      <c r="D162" s="30" t="str">
        <f>IF(PRENDAS!$B127="","",PRENDAS!$E127)</f>
        <v/>
      </c>
      <c r="E162" s="30" t="str">
        <f>IF(PRENDAS!$B127="","",PRENDAS!$F127)</f>
        <v/>
      </c>
      <c r="F162" s="21" t="str">
        <f>IF(PRENDAS!$B127="","",PRENDAS!$G127)</f>
        <v/>
      </c>
      <c r="G162" s="21" t="str">
        <f>IF(PRENDAS!$B127="","",PRENDAS!$H127)</f>
        <v/>
      </c>
      <c r="H162" s="21" t="str">
        <f>IF(PRENDAS!$B127="","",PRENDAS!$I127)</f>
        <v/>
      </c>
      <c r="I162" s="21" t="str">
        <f>IF(PRENDAS!$B127="","",PRENDAS!$J127)</f>
        <v/>
      </c>
      <c r="J162" s="21" t="str">
        <f>IF(PRENDAS!$B127="","",PRENDAS!$P127)</f>
        <v/>
      </c>
    </row>
    <row r="163" ht="15.0" customHeight="1">
      <c r="A163" s="30" t="str">
        <f>IF(PRENDAS!$B128="","",PRENDAS!$A128)</f>
        <v/>
      </c>
      <c r="B163" s="21" t="str">
        <f>IF(PRENDAS!$B128="","",PRENDAS!$B128)</f>
        <v/>
      </c>
      <c r="C163" s="21" t="str">
        <f>IF(PRENDAS!$B128="","",PRENDAS!$D128)</f>
        <v/>
      </c>
      <c r="D163" s="30" t="str">
        <f>IF(PRENDAS!$B128="","",PRENDAS!$E128)</f>
        <v/>
      </c>
      <c r="E163" s="30" t="str">
        <f>IF(PRENDAS!$B128="","",PRENDAS!$F128)</f>
        <v/>
      </c>
      <c r="F163" s="21" t="str">
        <f>IF(PRENDAS!$B128="","",PRENDAS!$G128)</f>
        <v/>
      </c>
      <c r="G163" s="21" t="str">
        <f>IF(PRENDAS!$B128="","",PRENDAS!$H128)</f>
        <v/>
      </c>
      <c r="H163" s="21" t="str">
        <f>IF(PRENDAS!$B128="","",PRENDAS!$I128)</f>
        <v/>
      </c>
      <c r="I163" s="21" t="str">
        <f>IF(PRENDAS!$B128="","",PRENDAS!$J128)</f>
        <v/>
      </c>
      <c r="J163" s="21" t="str">
        <f>IF(PRENDAS!$B128="","",PRENDAS!$P128)</f>
        <v/>
      </c>
    </row>
    <row r="164" ht="15.0" customHeight="1">
      <c r="A164" s="30" t="str">
        <f>IF(PRENDAS!$B129="","",PRENDAS!$A129)</f>
        <v/>
      </c>
      <c r="B164" s="21" t="str">
        <f>IF(PRENDAS!$B129="","",PRENDAS!$B129)</f>
        <v/>
      </c>
      <c r="C164" s="21" t="str">
        <f>IF(PRENDAS!$B129="","",PRENDAS!$D129)</f>
        <v/>
      </c>
      <c r="D164" s="30" t="str">
        <f>IF(PRENDAS!$B129="","",PRENDAS!$E129)</f>
        <v/>
      </c>
      <c r="E164" s="30" t="str">
        <f>IF(PRENDAS!$B129="","",PRENDAS!$F129)</f>
        <v/>
      </c>
      <c r="F164" s="21" t="str">
        <f>IF(PRENDAS!$B129="","",PRENDAS!$G129)</f>
        <v/>
      </c>
      <c r="G164" s="21" t="str">
        <f>IF(PRENDAS!$B129="","",PRENDAS!$H129)</f>
        <v/>
      </c>
      <c r="H164" s="21" t="str">
        <f>IF(PRENDAS!$B129="","",PRENDAS!$I129)</f>
        <v/>
      </c>
      <c r="I164" s="21" t="str">
        <f>IF(PRENDAS!$B129="","",PRENDAS!$J129)</f>
        <v/>
      </c>
      <c r="J164" s="21" t="str">
        <f>IF(PRENDAS!$B129="","",PRENDAS!$P129)</f>
        <v/>
      </c>
    </row>
    <row r="165" ht="15.0" customHeight="1">
      <c r="A165" s="30" t="str">
        <f>IF(PRENDAS!$B130="","",PRENDAS!$A130)</f>
        <v/>
      </c>
      <c r="B165" s="21" t="str">
        <f>IF(PRENDAS!$B130="","",PRENDAS!$B130)</f>
        <v/>
      </c>
      <c r="C165" s="21" t="str">
        <f>IF(PRENDAS!$B130="","",PRENDAS!$D130)</f>
        <v/>
      </c>
      <c r="D165" s="30" t="str">
        <f>IF(PRENDAS!$B130="","",PRENDAS!$E130)</f>
        <v/>
      </c>
      <c r="E165" s="30" t="str">
        <f>IF(PRENDAS!$B130="","",PRENDAS!$F130)</f>
        <v/>
      </c>
      <c r="F165" s="21" t="str">
        <f>IF(PRENDAS!$B130="","",PRENDAS!$G130)</f>
        <v/>
      </c>
      <c r="G165" s="21" t="str">
        <f>IF(PRENDAS!$B130="","",PRENDAS!$H130)</f>
        <v/>
      </c>
      <c r="H165" s="21" t="str">
        <f>IF(PRENDAS!$B130="","",PRENDAS!$I130)</f>
        <v/>
      </c>
      <c r="I165" s="21" t="str">
        <f>IF(PRENDAS!$B130="","",PRENDAS!$J130)</f>
        <v/>
      </c>
      <c r="J165" s="21" t="str">
        <f>IF(PRENDAS!$B130="","",PRENDAS!$P130)</f>
        <v/>
      </c>
    </row>
    <row r="166" ht="15.0" customHeight="1">
      <c r="A166" s="30" t="str">
        <f>IF(PRENDAS!$B131="","",PRENDAS!$A131)</f>
        <v/>
      </c>
      <c r="B166" s="21" t="str">
        <f>IF(PRENDAS!$B131="","",PRENDAS!$B131)</f>
        <v/>
      </c>
      <c r="C166" s="21" t="str">
        <f>IF(PRENDAS!$B131="","",PRENDAS!$D131)</f>
        <v/>
      </c>
      <c r="D166" s="30" t="str">
        <f>IF(PRENDAS!$B131="","",PRENDAS!$E131)</f>
        <v/>
      </c>
      <c r="E166" s="30" t="str">
        <f>IF(PRENDAS!$B131="","",PRENDAS!$F131)</f>
        <v/>
      </c>
      <c r="F166" s="21" t="str">
        <f>IF(PRENDAS!$B131="","",PRENDAS!$G131)</f>
        <v/>
      </c>
      <c r="G166" s="21" t="str">
        <f>IF(PRENDAS!$B131="","",PRENDAS!$H131)</f>
        <v/>
      </c>
      <c r="H166" s="21" t="str">
        <f>IF(PRENDAS!$B131="","",PRENDAS!$I131)</f>
        <v/>
      </c>
      <c r="I166" s="21" t="str">
        <f>IF(PRENDAS!$B131="","",PRENDAS!$J131)</f>
        <v/>
      </c>
      <c r="J166" s="21" t="str">
        <f>IF(PRENDAS!$B131="","",PRENDAS!$P131)</f>
        <v/>
      </c>
    </row>
    <row r="167" ht="15.0" customHeight="1">
      <c r="A167" s="30" t="str">
        <f>IF(PRENDAS!$B132="","",PRENDAS!$A132)</f>
        <v/>
      </c>
      <c r="B167" s="21" t="str">
        <f>IF(PRENDAS!$B132="","",PRENDAS!$B132)</f>
        <v/>
      </c>
      <c r="C167" s="21" t="str">
        <f>IF(PRENDAS!$B132="","",PRENDAS!$D132)</f>
        <v/>
      </c>
      <c r="D167" s="30" t="str">
        <f>IF(PRENDAS!$B132="","",PRENDAS!$E132)</f>
        <v/>
      </c>
      <c r="E167" s="30" t="str">
        <f>IF(PRENDAS!$B132="","",PRENDAS!$F132)</f>
        <v/>
      </c>
      <c r="F167" s="21" t="str">
        <f>IF(PRENDAS!$B132="","",PRENDAS!$G132)</f>
        <v/>
      </c>
      <c r="G167" s="21" t="str">
        <f>IF(PRENDAS!$B132="","",PRENDAS!$H132)</f>
        <v/>
      </c>
      <c r="H167" s="21" t="str">
        <f>IF(PRENDAS!$B132="","",PRENDAS!$I132)</f>
        <v/>
      </c>
      <c r="I167" s="21" t="str">
        <f>IF(PRENDAS!$B132="","",PRENDAS!$J132)</f>
        <v/>
      </c>
      <c r="J167" s="21" t="str">
        <f>IF(PRENDAS!$B132="","",PRENDAS!$P132)</f>
        <v/>
      </c>
    </row>
    <row r="168" ht="15.0" customHeight="1">
      <c r="A168" s="30" t="str">
        <f>IF(PRENDAS!$B133="","",PRENDAS!$A133)</f>
        <v/>
      </c>
      <c r="B168" s="21" t="str">
        <f>IF(PRENDAS!$B133="","",PRENDAS!$B133)</f>
        <v/>
      </c>
      <c r="C168" s="21" t="str">
        <f>IF(PRENDAS!$B133="","",PRENDAS!$D133)</f>
        <v/>
      </c>
      <c r="D168" s="30" t="str">
        <f>IF(PRENDAS!$B133="","",PRENDAS!$E133)</f>
        <v/>
      </c>
      <c r="E168" s="30" t="str">
        <f>IF(PRENDAS!$B133="","",PRENDAS!$F133)</f>
        <v/>
      </c>
      <c r="F168" s="21" t="str">
        <f>IF(PRENDAS!$B133="","",PRENDAS!$G133)</f>
        <v/>
      </c>
      <c r="G168" s="21" t="str">
        <f>IF(PRENDAS!$B133="","",PRENDAS!$H133)</f>
        <v/>
      </c>
      <c r="H168" s="21" t="str">
        <f>IF(PRENDAS!$B133="","",PRENDAS!$I133)</f>
        <v/>
      </c>
      <c r="I168" s="21" t="str">
        <f>IF(PRENDAS!$B133="","",PRENDAS!$J133)</f>
        <v/>
      </c>
      <c r="J168" s="21" t="str">
        <f>IF(PRENDAS!$B133="","",PRENDAS!$P133)</f>
        <v/>
      </c>
    </row>
    <row r="169" ht="15.0" customHeight="1">
      <c r="A169" s="30" t="str">
        <f>IF(PRENDAS!$B134="","",PRENDAS!$A134)</f>
        <v/>
      </c>
      <c r="B169" s="21" t="str">
        <f>IF(PRENDAS!$B134="","",PRENDAS!$B134)</f>
        <v/>
      </c>
      <c r="C169" s="21" t="str">
        <f>IF(PRENDAS!$B134="","",PRENDAS!$D134)</f>
        <v/>
      </c>
      <c r="D169" s="30" t="str">
        <f>IF(PRENDAS!$B134="","",PRENDAS!$E134)</f>
        <v/>
      </c>
      <c r="E169" s="30" t="str">
        <f>IF(PRENDAS!$B134="","",PRENDAS!$F134)</f>
        <v/>
      </c>
      <c r="F169" s="21" t="str">
        <f>IF(PRENDAS!$B134="","",PRENDAS!$G134)</f>
        <v/>
      </c>
      <c r="G169" s="21" t="str">
        <f>IF(PRENDAS!$B134="","",PRENDAS!$H134)</f>
        <v/>
      </c>
      <c r="H169" s="21" t="str">
        <f>IF(PRENDAS!$B134="","",PRENDAS!$I134)</f>
        <v/>
      </c>
      <c r="I169" s="21" t="str">
        <f>IF(PRENDAS!$B134="","",PRENDAS!$J134)</f>
        <v/>
      </c>
      <c r="J169" s="21" t="str">
        <f>IF(PRENDAS!$B134="","",PRENDAS!$P134)</f>
        <v/>
      </c>
    </row>
    <row r="170" ht="15.0" customHeight="1">
      <c r="A170" s="30" t="str">
        <f>IF(PRENDAS!$B135="","",PRENDAS!$A135)</f>
        <v/>
      </c>
      <c r="B170" s="21" t="str">
        <f>IF(PRENDAS!$B135="","",PRENDAS!$B135)</f>
        <v/>
      </c>
      <c r="C170" s="21" t="str">
        <f>IF(PRENDAS!$B135="","",PRENDAS!$D135)</f>
        <v/>
      </c>
      <c r="D170" s="30" t="str">
        <f>IF(PRENDAS!$B135="","",PRENDAS!$E135)</f>
        <v/>
      </c>
      <c r="E170" s="30" t="str">
        <f>IF(PRENDAS!$B135="","",PRENDAS!$F135)</f>
        <v/>
      </c>
      <c r="F170" s="21" t="str">
        <f>IF(PRENDAS!$B135="","",PRENDAS!$G135)</f>
        <v/>
      </c>
      <c r="G170" s="21" t="str">
        <f>IF(PRENDAS!$B135="","",PRENDAS!$H135)</f>
        <v/>
      </c>
      <c r="H170" s="21" t="str">
        <f>IF(PRENDAS!$B135="","",PRENDAS!$I135)</f>
        <v/>
      </c>
      <c r="I170" s="21" t="str">
        <f>IF(PRENDAS!$B135="","",PRENDAS!$J135)</f>
        <v/>
      </c>
      <c r="J170" s="21" t="str">
        <f>IF(PRENDAS!$B135="","",PRENDAS!$P135)</f>
        <v/>
      </c>
    </row>
    <row r="171" ht="15.0" customHeight="1">
      <c r="A171" s="30" t="str">
        <f>IF(PRENDAS!$B136="","",PRENDAS!$A136)</f>
        <v/>
      </c>
      <c r="B171" s="21" t="str">
        <f>IF(PRENDAS!$B136="","",PRENDAS!$B136)</f>
        <v/>
      </c>
      <c r="C171" s="21" t="str">
        <f>IF(PRENDAS!$B136="","",PRENDAS!$D136)</f>
        <v/>
      </c>
      <c r="D171" s="30" t="str">
        <f>IF(PRENDAS!$B136="","",PRENDAS!$E136)</f>
        <v/>
      </c>
      <c r="E171" s="30" t="str">
        <f>IF(PRENDAS!$B136="","",PRENDAS!$F136)</f>
        <v/>
      </c>
      <c r="F171" s="21" t="str">
        <f>IF(PRENDAS!$B136="","",PRENDAS!$G136)</f>
        <v/>
      </c>
      <c r="G171" s="21" t="str">
        <f>IF(PRENDAS!$B136="","",PRENDAS!$H136)</f>
        <v/>
      </c>
      <c r="H171" s="21" t="str">
        <f>IF(PRENDAS!$B136="","",PRENDAS!$I136)</f>
        <v/>
      </c>
      <c r="I171" s="21" t="str">
        <f>IF(PRENDAS!$B136="","",PRENDAS!$J136)</f>
        <v/>
      </c>
      <c r="J171" s="21" t="str">
        <f>IF(PRENDAS!$B136="","",PRENDAS!$P136)</f>
        <v/>
      </c>
    </row>
    <row r="172" ht="15.0" customHeight="1">
      <c r="A172" s="30" t="str">
        <f>IF(PRENDAS!$B137="","",PRENDAS!$A137)</f>
        <v/>
      </c>
      <c r="B172" s="21" t="str">
        <f>IF(PRENDAS!$B137="","",PRENDAS!$B137)</f>
        <v/>
      </c>
      <c r="C172" s="21" t="str">
        <f>IF(PRENDAS!$B137="","",PRENDAS!$D137)</f>
        <v/>
      </c>
      <c r="D172" s="30" t="str">
        <f>IF(PRENDAS!$B137="","",PRENDAS!$E137)</f>
        <v/>
      </c>
      <c r="E172" s="30" t="str">
        <f>IF(PRENDAS!$B137="","",PRENDAS!$F137)</f>
        <v/>
      </c>
      <c r="F172" s="21" t="str">
        <f>IF(PRENDAS!$B137="","",PRENDAS!$G137)</f>
        <v/>
      </c>
      <c r="G172" s="21" t="str">
        <f>IF(PRENDAS!$B137="","",PRENDAS!$H137)</f>
        <v/>
      </c>
      <c r="H172" s="21" t="str">
        <f>IF(PRENDAS!$B137="","",PRENDAS!$I137)</f>
        <v/>
      </c>
      <c r="I172" s="21" t="str">
        <f>IF(PRENDAS!$B137="","",PRENDAS!$J137)</f>
        <v/>
      </c>
      <c r="J172" s="21" t="str">
        <f>IF(PRENDAS!$B137="","",PRENDAS!$P137)</f>
        <v/>
      </c>
    </row>
    <row r="173" ht="15.0" customHeight="1">
      <c r="A173" s="30" t="str">
        <f>IF(PRENDAS!$B138="","",PRENDAS!$A138)</f>
        <v/>
      </c>
      <c r="B173" s="21" t="str">
        <f>IF(PRENDAS!$B138="","",PRENDAS!$B138)</f>
        <v/>
      </c>
      <c r="C173" s="21" t="str">
        <f>IF(PRENDAS!$B138="","",PRENDAS!$D138)</f>
        <v/>
      </c>
      <c r="D173" s="30" t="str">
        <f>IF(PRENDAS!$B138="","",PRENDAS!$E138)</f>
        <v/>
      </c>
      <c r="E173" s="30" t="str">
        <f>IF(PRENDAS!$B138="","",PRENDAS!$F138)</f>
        <v/>
      </c>
      <c r="F173" s="21" t="str">
        <f>IF(PRENDAS!$B138="","",PRENDAS!$G138)</f>
        <v/>
      </c>
      <c r="G173" s="21" t="str">
        <f>IF(PRENDAS!$B138="","",PRENDAS!$H138)</f>
        <v/>
      </c>
      <c r="H173" s="21" t="str">
        <f>IF(PRENDAS!$B138="","",PRENDAS!$I138)</f>
        <v/>
      </c>
      <c r="I173" s="21" t="str">
        <f>IF(PRENDAS!$B138="","",PRENDAS!$J138)</f>
        <v/>
      </c>
      <c r="J173" s="21" t="str">
        <f>IF(PRENDAS!$B138="","",PRENDAS!$P138)</f>
        <v/>
      </c>
    </row>
    <row r="174" ht="15.0" customHeight="1">
      <c r="A174" s="30" t="str">
        <f>IF(PRENDAS!$B139="","",PRENDAS!$A139)</f>
        <v/>
      </c>
      <c r="B174" s="21" t="str">
        <f>IF(PRENDAS!$B139="","",PRENDAS!$B139)</f>
        <v/>
      </c>
      <c r="C174" s="21" t="str">
        <f>IF(PRENDAS!$B139="","",PRENDAS!$D139)</f>
        <v/>
      </c>
      <c r="D174" s="30" t="str">
        <f>IF(PRENDAS!$B139="","",PRENDAS!$E139)</f>
        <v/>
      </c>
      <c r="E174" s="30" t="str">
        <f>IF(PRENDAS!$B139="","",PRENDAS!$F139)</f>
        <v/>
      </c>
      <c r="F174" s="21" t="str">
        <f>IF(PRENDAS!$B139="","",PRENDAS!$G139)</f>
        <v/>
      </c>
      <c r="G174" s="21" t="str">
        <f>IF(PRENDAS!$B139="","",PRENDAS!$H139)</f>
        <v/>
      </c>
      <c r="H174" s="21" t="str">
        <f>IF(PRENDAS!$B139="","",PRENDAS!$I139)</f>
        <v/>
      </c>
      <c r="I174" s="21" t="str">
        <f>IF(PRENDAS!$B139="","",PRENDAS!$J139)</f>
        <v/>
      </c>
      <c r="J174" s="21" t="str">
        <f>IF(PRENDAS!$B139="","",PRENDAS!$P139)</f>
        <v/>
      </c>
    </row>
    <row r="175" ht="15.0" customHeight="1">
      <c r="A175" s="30" t="str">
        <f>IF(PRENDAS!$B140="","",PRENDAS!$A140)</f>
        <v/>
      </c>
      <c r="B175" s="21" t="str">
        <f>IF(PRENDAS!$B140="","",PRENDAS!$B140)</f>
        <v/>
      </c>
      <c r="C175" s="21" t="str">
        <f>IF(PRENDAS!$B140="","",PRENDAS!$D140)</f>
        <v/>
      </c>
      <c r="D175" s="30" t="str">
        <f>IF(PRENDAS!$B140="","",PRENDAS!$E140)</f>
        <v/>
      </c>
      <c r="E175" s="30" t="str">
        <f>IF(PRENDAS!$B140="","",PRENDAS!$F140)</f>
        <v/>
      </c>
      <c r="F175" s="21" t="str">
        <f>IF(PRENDAS!$B140="","",PRENDAS!$G140)</f>
        <v/>
      </c>
      <c r="G175" s="21" t="str">
        <f>IF(PRENDAS!$B140="","",PRENDAS!$H140)</f>
        <v/>
      </c>
      <c r="H175" s="21" t="str">
        <f>IF(PRENDAS!$B140="","",PRENDAS!$I140)</f>
        <v/>
      </c>
      <c r="I175" s="21" t="str">
        <f>IF(PRENDAS!$B140="","",PRENDAS!$J140)</f>
        <v/>
      </c>
      <c r="J175" s="21" t="str">
        <f>IF(PRENDAS!$B140="","",PRENDAS!$P140)</f>
        <v/>
      </c>
    </row>
    <row r="176" ht="15.0" customHeight="1">
      <c r="A176" s="30" t="str">
        <f>IF(PRENDAS!$B141="","",PRENDAS!$A141)</f>
        <v/>
      </c>
      <c r="B176" s="21" t="str">
        <f>IF(PRENDAS!$B141="","",PRENDAS!$B141)</f>
        <v/>
      </c>
      <c r="C176" s="21" t="str">
        <f>IF(PRENDAS!$B141="","",PRENDAS!$D141)</f>
        <v/>
      </c>
      <c r="D176" s="30" t="str">
        <f>IF(PRENDAS!$B141="","",PRENDAS!$E141)</f>
        <v/>
      </c>
      <c r="E176" s="30" t="str">
        <f>IF(PRENDAS!$B141="","",PRENDAS!$F141)</f>
        <v/>
      </c>
      <c r="F176" s="21" t="str">
        <f>IF(PRENDAS!$B141="","",PRENDAS!$G141)</f>
        <v/>
      </c>
      <c r="G176" s="21" t="str">
        <f>IF(PRENDAS!$B141="","",PRENDAS!$H141)</f>
        <v/>
      </c>
      <c r="H176" s="21" t="str">
        <f>IF(PRENDAS!$B141="","",PRENDAS!$I141)</f>
        <v/>
      </c>
      <c r="I176" s="21" t="str">
        <f>IF(PRENDAS!$B141="","",PRENDAS!$J141)</f>
        <v/>
      </c>
      <c r="J176" s="21" t="str">
        <f>IF(PRENDAS!$B141="","",PRENDAS!$P141)</f>
        <v/>
      </c>
    </row>
    <row r="177" ht="15.0" customHeight="1">
      <c r="A177" s="30" t="str">
        <f>IF(PRENDAS!$B142="","",PRENDAS!$A142)</f>
        <v/>
      </c>
      <c r="B177" s="21" t="str">
        <f>IF(PRENDAS!$B142="","",PRENDAS!$B142)</f>
        <v/>
      </c>
      <c r="C177" s="21" t="str">
        <f>IF(PRENDAS!$B142="","",PRENDAS!$D142)</f>
        <v/>
      </c>
      <c r="D177" s="30" t="str">
        <f>IF(PRENDAS!$B142="","",PRENDAS!$E142)</f>
        <v/>
      </c>
      <c r="E177" s="30" t="str">
        <f>IF(PRENDAS!$B142="","",PRENDAS!$F142)</f>
        <v/>
      </c>
      <c r="F177" s="21" t="str">
        <f>IF(PRENDAS!$B142="","",PRENDAS!$G142)</f>
        <v/>
      </c>
      <c r="G177" s="21" t="str">
        <f>IF(PRENDAS!$B142="","",PRENDAS!$H142)</f>
        <v/>
      </c>
      <c r="H177" s="21" t="str">
        <f>IF(PRENDAS!$B142="","",PRENDAS!$I142)</f>
        <v/>
      </c>
      <c r="I177" s="21" t="str">
        <f>IF(PRENDAS!$B142="","",PRENDAS!$J142)</f>
        <v/>
      </c>
      <c r="J177" s="21" t="str">
        <f>IF(PRENDAS!$B142="","",PRENDAS!$P142)</f>
        <v/>
      </c>
    </row>
    <row r="178" ht="15.0" customHeight="1">
      <c r="A178" s="30" t="str">
        <f>IF(PRENDAS!$B143="","",PRENDAS!$A143)</f>
        <v/>
      </c>
      <c r="B178" s="21" t="str">
        <f>IF(PRENDAS!$B143="","",PRENDAS!$B143)</f>
        <v/>
      </c>
      <c r="C178" s="21" t="str">
        <f>IF(PRENDAS!$B143="","",PRENDAS!$D143)</f>
        <v/>
      </c>
      <c r="D178" s="30" t="str">
        <f>IF(PRENDAS!$B143="","",PRENDAS!$E143)</f>
        <v/>
      </c>
      <c r="E178" s="30" t="str">
        <f>IF(PRENDAS!$B143="","",PRENDAS!$F143)</f>
        <v/>
      </c>
      <c r="F178" s="21" t="str">
        <f>IF(PRENDAS!$B143="","",PRENDAS!$G143)</f>
        <v/>
      </c>
      <c r="G178" s="21" t="str">
        <f>IF(PRENDAS!$B143="","",PRENDAS!$H143)</f>
        <v/>
      </c>
      <c r="H178" s="21" t="str">
        <f>IF(PRENDAS!$B143="","",PRENDAS!$I143)</f>
        <v/>
      </c>
      <c r="I178" s="21" t="str">
        <f>IF(PRENDAS!$B143="","",PRENDAS!$J143)</f>
        <v/>
      </c>
      <c r="J178" s="21" t="str">
        <f>IF(PRENDAS!$B143="","",PRENDAS!$P143)</f>
        <v/>
      </c>
    </row>
    <row r="179" ht="15.0" customHeight="1">
      <c r="A179" s="30" t="str">
        <f>IF(PRENDAS!$B144="","",PRENDAS!$A144)</f>
        <v/>
      </c>
      <c r="B179" s="21" t="str">
        <f>IF(PRENDAS!$B144="","",PRENDAS!$B144)</f>
        <v/>
      </c>
      <c r="C179" s="21" t="str">
        <f>IF(PRENDAS!$B144="","",PRENDAS!$D144)</f>
        <v/>
      </c>
      <c r="D179" s="30" t="str">
        <f>IF(PRENDAS!$B144="","",PRENDAS!$E144)</f>
        <v/>
      </c>
      <c r="E179" s="30" t="str">
        <f>IF(PRENDAS!$B144="","",PRENDAS!$F144)</f>
        <v/>
      </c>
      <c r="F179" s="21" t="str">
        <f>IF(PRENDAS!$B144="","",PRENDAS!$G144)</f>
        <v/>
      </c>
      <c r="G179" s="21" t="str">
        <f>IF(PRENDAS!$B144="","",PRENDAS!$H144)</f>
        <v/>
      </c>
      <c r="H179" s="21" t="str">
        <f>IF(PRENDAS!$B144="","",PRENDAS!$I144)</f>
        <v/>
      </c>
      <c r="I179" s="21" t="str">
        <f>IF(PRENDAS!$B144="","",PRENDAS!$J144)</f>
        <v/>
      </c>
      <c r="J179" s="21" t="str">
        <f>IF(PRENDAS!$B144="","",PRENDAS!$P144)</f>
        <v/>
      </c>
    </row>
    <row r="180" ht="15.0" customHeight="1">
      <c r="A180" s="30" t="str">
        <f>IF(PRENDAS!$B145="","",PRENDAS!$A145)</f>
        <v/>
      </c>
      <c r="B180" s="21" t="str">
        <f>IF(PRENDAS!$B145="","",PRENDAS!$B145)</f>
        <v/>
      </c>
      <c r="C180" s="21" t="str">
        <f>IF(PRENDAS!$B145="","",PRENDAS!$D145)</f>
        <v/>
      </c>
      <c r="D180" s="30" t="str">
        <f>IF(PRENDAS!$B145="","",PRENDAS!$E145)</f>
        <v/>
      </c>
      <c r="E180" s="30" t="str">
        <f>IF(PRENDAS!$B145="","",PRENDAS!$F145)</f>
        <v/>
      </c>
      <c r="F180" s="21" t="str">
        <f>IF(PRENDAS!$B145="","",PRENDAS!$G145)</f>
        <v/>
      </c>
      <c r="G180" s="21" t="str">
        <f>IF(PRENDAS!$B145="","",PRENDAS!$H145)</f>
        <v/>
      </c>
      <c r="H180" s="21" t="str">
        <f>IF(PRENDAS!$B145="","",PRENDAS!$I145)</f>
        <v/>
      </c>
      <c r="I180" s="21" t="str">
        <f>IF(PRENDAS!$B145="","",PRENDAS!$J145)</f>
        <v/>
      </c>
      <c r="J180" s="21" t="str">
        <f>IF(PRENDAS!$B145="","",PRENDAS!$P145)</f>
        <v/>
      </c>
    </row>
    <row r="181" ht="15.0" customHeight="1">
      <c r="A181" s="30" t="str">
        <f>IF(PRENDAS!$B146="","",PRENDAS!$A146)</f>
        <v/>
      </c>
      <c r="B181" s="21" t="str">
        <f>IF(PRENDAS!$B146="","",PRENDAS!$B146)</f>
        <v/>
      </c>
      <c r="C181" s="21" t="str">
        <f>IF(PRENDAS!$B146="","",PRENDAS!$D146)</f>
        <v/>
      </c>
      <c r="D181" s="30" t="str">
        <f>IF(PRENDAS!$B146="","",PRENDAS!$E146)</f>
        <v/>
      </c>
      <c r="E181" s="30" t="str">
        <f>IF(PRENDAS!$B146="","",PRENDAS!$F146)</f>
        <v/>
      </c>
      <c r="F181" s="21" t="str">
        <f>IF(PRENDAS!$B146="","",PRENDAS!$G146)</f>
        <v/>
      </c>
      <c r="G181" s="21" t="str">
        <f>IF(PRENDAS!$B146="","",PRENDAS!$H146)</f>
        <v/>
      </c>
      <c r="H181" s="21" t="str">
        <f>IF(PRENDAS!$B146="","",PRENDAS!$I146)</f>
        <v/>
      </c>
      <c r="I181" s="21" t="str">
        <f>IF(PRENDAS!$B146="","",PRENDAS!$J146)</f>
        <v/>
      </c>
      <c r="J181" s="21" t="str">
        <f>IF(PRENDAS!$B146="","",PRENDAS!$P146)</f>
        <v/>
      </c>
    </row>
    <row r="182" ht="15.0" customHeight="1">
      <c r="A182" s="30" t="str">
        <f>IF(PRENDAS!$B147="","",PRENDAS!$A147)</f>
        <v/>
      </c>
      <c r="B182" s="21" t="str">
        <f>IF(PRENDAS!$B147="","",PRENDAS!$B147)</f>
        <v/>
      </c>
      <c r="C182" s="21" t="str">
        <f>IF(PRENDAS!$B147="","",PRENDAS!$D147)</f>
        <v/>
      </c>
      <c r="D182" s="30" t="str">
        <f>IF(PRENDAS!$B147="","",PRENDAS!$E147)</f>
        <v/>
      </c>
      <c r="E182" s="30" t="str">
        <f>IF(PRENDAS!$B147="","",PRENDAS!$F147)</f>
        <v/>
      </c>
      <c r="F182" s="21" t="str">
        <f>IF(PRENDAS!$B147="","",PRENDAS!$G147)</f>
        <v/>
      </c>
      <c r="G182" s="21" t="str">
        <f>IF(PRENDAS!$B147="","",PRENDAS!$H147)</f>
        <v/>
      </c>
      <c r="H182" s="21" t="str">
        <f>IF(PRENDAS!$B147="","",PRENDAS!$I147)</f>
        <v/>
      </c>
      <c r="I182" s="21" t="str">
        <f>IF(PRENDAS!$B147="","",PRENDAS!$J147)</f>
        <v/>
      </c>
      <c r="J182" s="21" t="str">
        <f>IF(PRENDAS!$B147="","",PRENDAS!$P147)</f>
        <v/>
      </c>
    </row>
    <row r="183" ht="15.0" customHeight="1">
      <c r="A183" s="30" t="str">
        <f>IF(PRENDAS!$B148="","",PRENDAS!$A148)</f>
        <v/>
      </c>
      <c r="B183" s="21" t="str">
        <f>IF(PRENDAS!$B148="","",PRENDAS!$B148)</f>
        <v/>
      </c>
      <c r="C183" s="21" t="str">
        <f>IF(PRENDAS!$B148="","",PRENDAS!$D148)</f>
        <v/>
      </c>
      <c r="D183" s="30" t="str">
        <f>IF(PRENDAS!$B148="","",PRENDAS!$E148)</f>
        <v/>
      </c>
      <c r="E183" s="30" t="str">
        <f>IF(PRENDAS!$B148="","",PRENDAS!$F148)</f>
        <v/>
      </c>
      <c r="F183" s="21" t="str">
        <f>IF(PRENDAS!$B148="","",PRENDAS!$G148)</f>
        <v/>
      </c>
      <c r="G183" s="21" t="str">
        <f>IF(PRENDAS!$B148="","",PRENDAS!$H148)</f>
        <v/>
      </c>
      <c r="H183" s="21" t="str">
        <f>IF(PRENDAS!$B148="","",PRENDAS!$I148)</f>
        <v/>
      </c>
      <c r="I183" s="21" t="str">
        <f>IF(PRENDAS!$B148="","",PRENDAS!$J148)</f>
        <v/>
      </c>
      <c r="J183" s="21" t="str">
        <f>IF(PRENDAS!$B148="","",PRENDAS!$P148)</f>
        <v/>
      </c>
    </row>
    <row r="184" ht="15.0" customHeight="1">
      <c r="A184" s="30" t="str">
        <f>IF(PRENDAS!$B149="","",PRENDAS!$A149)</f>
        <v/>
      </c>
      <c r="B184" s="21" t="str">
        <f>IF(PRENDAS!$B149="","",PRENDAS!$B149)</f>
        <v/>
      </c>
      <c r="C184" s="21" t="str">
        <f>IF(PRENDAS!$B149="","",PRENDAS!$D149)</f>
        <v/>
      </c>
      <c r="D184" s="30" t="str">
        <f>IF(PRENDAS!$B149="","",PRENDAS!$E149)</f>
        <v/>
      </c>
      <c r="E184" s="30" t="str">
        <f>IF(PRENDAS!$B149="","",PRENDAS!$F149)</f>
        <v/>
      </c>
      <c r="F184" s="21" t="str">
        <f>IF(PRENDAS!$B149="","",PRENDAS!$G149)</f>
        <v/>
      </c>
      <c r="G184" s="21" t="str">
        <f>IF(PRENDAS!$B149="","",PRENDAS!$H149)</f>
        <v/>
      </c>
      <c r="H184" s="21" t="str">
        <f>IF(PRENDAS!$B149="","",PRENDAS!$I149)</f>
        <v/>
      </c>
      <c r="I184" s="21" t="str">
        <f>IF(PRENDAS!$B149="","",PRENDAS!$J149)</f>
        <v/>
      </c>
      <c r="J184" s="21" t="str">
        <f>IF(PRENDAS!$B149="","",PRENDAS!$P149)</f>
        <v/>
      </c>
    </row>
    <row r="185" ht="15.0" customHeight="1">
      <c r="A185" s="30" t="str">
        <f>IF(PRENDAS!$B150="","",PRENDAS!$A150)</f>
        <v/>
      </c>
      <c r="B185" s="21" t="str">
        <f>IF(PRENDAS!$B150="","",PRENDAS!$B150)</f>
        <v/>
      </c>
      <c r="C185" s="21" t="str">
        <f>IF(PRENDAS!$B150="","",PRENDAS!$D150)</f>
        <v/>
      </c>
      <c r="D185" s="30" t="str">
        <f>IF(PRENDAS!$B150="","",PRENDAS!$E150)</f>
        <v/>
      </c>
      <c r="E185" s="30" t="str">
        <f>IF(PRENDAS!$B150="","",PRENDAS!$F150)</f>
        <v/>
      </c>
      <c r="F185" s="21" t="str">
        <f>IF(PRENDAS!$B150="","",PRENDAS!$G150)</f>
        <v/>
      </c>
      <c r="G185" s="21" t="str">
        <f>IF(PRENDAS!$B150="","",PRENDAS!$H150)</f>
        <v/>
      </c>
      <c r="H185" s="21" t="str">
        <f>IF(PRENDAS!$B150="","",PRENDAS!$I150)</f>
        <v/>
      </c>
      <c r="I185" s="21" t="str">
        <f>IF(PRENDAS!$B150="","",PRENDAS!$J150)</f>
        <v/>
      </c>
      <c r="J185" s="21" t="str">
        <f>IF(PRENDAS!$B150="","",PRENDAS!$P150)</f>
        <v/>
      </c>
    </row>
    <row r="186" ht="15.0" customHeight="1">
      <c r="A186" s="30" t="str">
        <f>IF(PRENDAS!$B151="","",PRENDAS!$A151)</f>
        <v/>
      </c>
      <c r="B186" s="21" t="str">
        <f>IF(PRENDAS!$B151="","",PRENDAS!$B151)</f>
        <v/>
      </c>
      <c r="C186" s="21" t="str">
        <f>IF(PRENDAS!$B151="","",PRENDAS!$D151)</f>
        <v/>
      </c>
      <c r="D186" s="30" t="str">
        <f>IF(PRENDAS!$B151="","",PRENDAS!$E151)</f>
        <v/>
      </c>
      <c r="E186" s="30" t="str">
        <f>IF(PRENDAS!$B151="","",PRENDAS!$F151)</f>
        <v/>
      </c>
      <c r="F186" s="21" t="str">
        <f>IF(PRENDAS!$B151="","",PRENDAS!$G151)</f>
        <v/>
      </c>
      <c r="G186" s="21" t="str">
        <f>IF(PRENDAS!$B151="","",PRENDAS!$H151)</f>
        <v/>
      </c>
      <c r="H186" s="21" t="str">
        <f>IF(PRENDAS!$B151="","",PRENDAS!$I151)</f>
        <v/>
      </c>
      <c r="I186" s="21" t="str">
        <f>IF(PRENDAS!$B151="","",PRENDAS!$J151)</f>
        <v/>
      </c>
      <c r="J186" s="21" t="str">
        <f>IF(PRENDAS!$B151="","",PRENDAS!$P151)</f>
        <v/>
      </c>
    </row>
    <row r="187" ht="15.0" customHeight="1">
      <c r="A187" s="30" t="str">
        <f>IF(PRENDAS!$B152="","",PRENDAS!$A152)</f>
        <v/>
      </c>
      <c r="B187" s="21" t="str">
        <f>IF(PRENDAS!$B152="","",PRENDAS!$B152)</f>
        <v/>
      </c>
      <c r="C187" s="21" t="str">
        <f>IF(PRENDAS!$B152="","",PRENDAS!$D152)</f>
        <v/>
      </c>
      <c r="D187" s="30" t="str">
        <f>IF(PRENDAS!$B152="","",PRENDAS!$E152)</f>
        <v/>
      </c>
      <c r="E187" s="30" t="str">
        <f>IF(PRENDAS!$B152="","",PRENDAS!$F152)</f>
        <v/>
      </c>
      <c r="F187" s="21" t="str">
        <f>IF(PRENDAS!$B152="","",PRENDAS!$G152)</f>
        <v/>
      </c>
      <c r="G187" s="21" t="str">
        <f>IF(PRENDAS!$B152="","",PRENDAS!$H152)</f>
        <v/>
      </c>
      <c r="H187" s="21" t="str">
        <f>IF(PRENDAS!$B152="","",PRENDAS!$I152)</f>
        <v/>
      </c>
      <c r="I187" s="21" t="str">
        <f>IF(PRENDAS!$B152="","",PRENDAS!$J152)</f>
        <v/>
      </c>
      <c r="J187" s="21" t="str">
        <f>IF(PRENDAS!$B152="","",PRENDAS!$P152)</f>
        <v/>
      </c>
    </row>
    <row r="188" ht="15.0" customHeight="1">
      <c r="A188" s="30" t="str">
        <f>IF(PRENDAS!$B153="","",PRENDAS!$A153)</f>
        <v/>
      </c>
      <c r="B188" s="21" t="str">
        <f>IF(PRENDAS!$B153="","",PRENDAS!$B153)</f>
        <v/>
      </c>
      <c r="C188" s="21" t="str">
        <f>IF(PRENDAS!$B153="","",PRENDAS!$D153)</f>
        <v/>
      </c>
      <c r="D188" s="30" t="str">
        <f>IF(PRENDAS!$B153="","",PRENDAS!$E153)</f>
        <v/>
      </c>
      <c r="E188" s="30" t="str">
        <f>IF(PRENDAS!$B153="","",PRENDAS!$F153)</f>
        <v/>
      </c>
      <c r="F188" s="21" t="str">
        <f>IF(PRENDAS!$B153="","",PRENDAS!$G153)</f>
        <v/>
      </c>
      <c r="G188" s="21" t="str">
        <f>IF(PRENDAS!$B153="","",PRENDAS!$H153)</f>
        <v/>
      </c>
      <c r="H188" s="21" t="str">
        <f>IF(PRENDAS!$B153="","",PRENDAS!$I153)</f>
        <v/>
      </c>
      <c r="I188" s="21" t="str">
        <f>IF(PRENDAS!$B153="","",PRENDAS!$J153)</f>
        <v/>
      </c>
      <c r="J188" s="21" t="str">
        <f>IF(PRENDAS!$B153="","",PRENDAS!$P153)</f>
        <v/>
      </c>
    </row>
    <row r="189" ht="15.0" customHeight="1">
      <c r="A189" s="30" t="str">
        <f>IF(PRENDAS!$B154="","",PRENDAS!$A154)</f>
        <v/>
      </c>
      <c r="B189" s="21" t="str">
        <f>IF(PRENDAS!$B154="","",PRENDAS!$B154)</f>
        <v/>
      </c>
      <c r="C189" s="21" t="str">
        <f>IF(PRENDAS!$B154="","",PRENDAS!$D154)</f>
        <v/>
      </c>
      <c r="D189" s="30" t="str">
        <f>IF(PRENDAS!$B154="","",PRENDAS!$E154)</f>
        <v/>
      </c>
      <c r="E189" s="30" t="str">
        <f>IF(PRENDAS!$B154="","",PRENDAS!$F154)</f>
        <v/>
      </c>
      <c r="F189" s="21" t="str">
        <f>IF(PRENDAS!$B154="","",PRENDAS!$G154)</f>
        <v/>
      </c>
      <c r="G189" s="21" t="str">
        <f>IF(PRENDAS!$B154="","",PRENDAS!$H154)</f>
        <v/>
      </c>
      <c r="H189" s="21" t="str">
        <f>IF(PRENDAS!$B154="","",PRENDAS!$I154)</f>
        <v/>
      </c>
      <c r="I189" s="21" t="str">
        <f>IF(PRENDAS!$B154="","",PRENDAS!$J154)</f>
        <v/>
      </c>
      <c r="J189" s="21" t="str">
        <f>IF(PRENDAS!$B154="","",PRENDAS!$P154)</f>
        <v/>
      </c>
    </row>
    <row r="190" ht="15.0" customHeight="1">
      <c r="A190" s="30" t="str">
        <f>IF(PRENDAS!$B155="","",PRENDAS!$A155)</f>
        <v/>
      </c>
      <c r="B190" s="21" t="str">
        <f>IF(PRENDAS!$B155="","",PRENDAS!$B155)</f>
        <v/>
      </c>
      <c r="C190" s="21" t="str">
        <f>IF(PRENDAS!$B155="","",PRENDAS!$D155)</f>
        <v/>
      </c>
      <c r="D190" s="30" t="str">
        <f>IF(PRENDAS!$B155="","",PRENDAS!$E155)</f>
        <v/>
      </c>
      <c r="E190" s="30" t="str">
        <f>IF(PRENDAS!$B155="","",PRENDAS!$F155)</f>
        <v/>
      </c>
      <c r="F190" s="21" t="str">
        <f>IF(PRENDAS!$B155="","",PRENDAS!$G155)</f>
        <v/>
      </c>
      <c r="G190" s="21" t="str">
        <f>IF(PRENDAS!$B155="","",PRENDAS!$H155)</f>
        <v/>
      </c>
      <c r="H190" s="21" t="str">
        <f>IF(PRENDAS!$B155="","",PRENDAS!$I155)</f>
        <v/>
      </c>
      <c r="I190" s="21" t="str">
        <f>IF(PRENDAS!$B155="","",PRENDAS!$J155)</f>
        <v/>
      </c>
      <c r="J190" s="21" t="str">
        <f>IF(PRENDAS!$B155="","",PRENDAS!$P155)</f>
        <v/>
      </c>
    </row>
    <row r="191" ht="15.0" customHeight="1">
      <c r="A191" s="30" t="str">
        <f>IF(PRENDAS!$B156="","",PRENDAS!$A156)</f>
        <v/>
      </c>
      <c r="B191" s="21" t="str">
        <f>IF(PRENDAS!$B156="","",PRENDAS!$B156)</f>
        <v/>
      </c>
      <c r="C191" s="21" t="str">
        <f>IF(PRENDAS!$B156="","",PRENDAS!$D156)</f>
        <v/>
      </c>
      <c r="D191" s="30" t="str">
        <f>IF(PRENDAS!$B156="","",PRENDAS!$E156)</f>
        <v/>
      </c>
      <c r="E191" s="30" t="str">
        <f>IF(PRENDAS!$B156="","",PRENDAS!$F156)</f>
        <v/>
      </c>
      <c r="F191" s="21" t="str">
        <f>IF(PRENDAS!$B156="","",PRENDAS!$G156)</f>
        <v/>
      </c>
      <c r="G191" s="21" t="str">
        <f>IF(PRENDAS!$B156="","",PRENDAS!$H156)</f>
        <v/>
      </c>
      <c r="H191" s="21" t="str">
        <f>IF(PRENDAS!$B156="","",PRENDAS!$I156)</f>
        <v/>
      </c>
      <c r="I191" s="21" t="str">
        <f>IF(PRENDAS!$B156="","",PRENDAS!$J156)</f>
        <v/>
      </c>
      <c r="J191" s="21" t="str">
        <f>IF(PRENDAS!$B156="","",PRENDAS!$P156)</f>
        <v/>
      </c>
    </row>
    <row r="192" ht="15.0" customHeight="1">
      <c r="A192" s="30" t="str">
        <f>IF(PRENDAS!$B157="","",PRENDAS!$A157)</f>
        <v/>
      </c>
      <c r="B192" s="21" t="str">
        <f>IF(PRENDAS!$B157="","",PRENDAS!$B157)</f>
        <v/>
      </c>
      <c r="C192" s="21" t="str">
        <f>IF(PRENDAS!$B157="","",PRENDAS!$D157)</f>
        <v/>
      </c>
      <c r="D192" s="30" t="str">
        <f>IF(PRENDAS!$B157="","",PRENDAS!$E157)</f>
        <v/>
      </c>
      <c r="E192" s="30" t="str">
        <f>IF(PRENDAS!$B157="","",PRENDAS!$F157)</f>
        <v/>
      </c>
      <c r="F192" s="21" t="str">
        <f>IF(PRENDAS!$B157="","",PRENDAS!$G157)</f>
        <v/>
      </c>
      <c r="G192" s="21" t="str">
        <f>IF(PRENDAS!$B157="","",PRENDAS!$H157)</f>
        <v/>
      </c>
      <c r="H192" s="21" t="str">
        <f>IF(PRENDAS!$B157="","",PRENDAS!$I157)</f>
        <v/>
      </c>
      <c r="I192" s="21" t="str">
        <f>IF(PRENDAS!$B157="","",PRENDAS!$J157)</f>
        <v/>
      </c>
      <c r="J192" s="21" t="str">
        <f>IF(PRENDAS!$B157="","",PRENDAS!$P157)</f>
        <v/>
      </c>
    </row>
    <row r="193" ht="15.0" customHeight="1">
      <c r="A193" s="30" t="str">
        <f>IF(PRENDAS!$B158="","",PRENDAS!$A158)</f>
        <v/>
      </c>
      <c r="B193" s="21" t="str">
        <f>IF(PRENDAS!$B158="","",PRENDAS!$B158)</f>
        <v/>
      </c>
      <c r="C193" s="21" t="str">
        <f>IF(PRENDAS!$B158="","",PRENDAS!$D158)</f>
        <v/>
      </c>
      <c r="D193" s="30" t="str">
        <f>IF(PRENDAS!$B158="","",PRENDAS!$E158)</f>
        <v/>
      </c>
      <c r="E193" s="30" t="str">
        <f>IF(PRENDAS!$B158="","",PRENDAS!$F158)</f>
        <v/>
      </c>
      <c r="F193" s="21" t="str">
        <f>IF(PRENDAS!$B158="","",PRENDAS!$G158)</f>
        <v/>
      </c>
      <c r="G193" s="21" t="str">
        <f>IF(PRENDAS!$B158="","",PRENDAS!$H158)</f>
        <v/>
      </c>
      <c r="H193" s="21" t="str">
        <f>IF(PRENDAS!$B158="","",PRENDAS!$I158)</f>
        <v/>
      </c>
      <c r="I193" s="21" t="str">
        <f>IF(PRENDAS!$B158="","",PRENDAS!$J158)</f>
        <v/>
      </c>
      <c r="J193" s="21" t="str">
        <f>IF(PRENDAS!$B158="","",PRENDAS!$P158)</f>
        <v/>
      </c>
    </row>
    <row r="194" ht="15.0" customHeight="1">
      <c r="A194" s="30" t="str">
        <f>IF(PRENDAS!$B159="","",PRENDAS!$A159)</f>
        <v/>
      </c>
      <c r="B194" s="21" t="str">
        <f>IF(PRENDAS!$B159="","",PRENDAS!$B159)</f>
        <v/>
      </c>
      <c r="C194" s="21" t="str">
        <f>IF(PRENDAS!$B159="","",PRENDAS!$D159)</f>
        <v/>
      </c>
      <c r="D194" s="30" t="str">
        <f>IF(PRENDAS!$B159="","",PRENDAS!$E159)</f>
        <v/>
      </c>
      <c r="E194" s="30" t="str">
        <f>IF(PRENDAS!$B159="","",PRENDAS!$F159)</f>
        <v/>
      </c>
      <c r="F194" s="21" t="str">
        <f>IF(PRENDAS!$B159="","",PRENDAS!$G159)</f>
        <v/>
      </c>
      <c r="G194" s="21" t="str">
        <f>IF(PRENDAS!$B159="","",PRENDAS!$H159)</f>
        <v/>
      </c>
      <c r="H194" s="21" t="str">
        <f>IF(PRENDAS!$B159="","",PRENDAS!$I159)</f>
        <v/>
      </c>
      <c r="I194" s="21" t="str">
        <f>IF(PRENDAS!$B159="","",PRENDAS!$J159)</f>
        <v/>
      </c>
      <c r="J194" s="21" t="str">
        <f>IF(PRENDAS!$B159="","",PRENDAS!$P159)</f>
        <v/>
      </c>
    </row>
    <row r="195" ht="15.0" customHeight="1">
      <c r="A195" s="30" t="str">
        <f>IF(PRENDAS!$B160="","",PRENDAS!$A160)</f>
        <v/>
      </c>
      <c r="B195" s="21" t="str">
        <f>IF(PRENDAS!$B160="","",PRENDAS!$B160)</f>
        <v/>
      </c>
      <c r="C195" s="21" t="str">
        <f>IF(PRENDAS!$B160="","",PRENDAS!$D160)</f>
        <v/>
      </c>
      <c r="D195" s="30" t="str">
        <f>IF(PRENDAS!$B160="","",PRENDAS!$E160)</f>
        <v/>
      </c>
      <c r="E195" s="30" t="str">
        <f>IF(PRENDAS!$B160="","",PRENDAS!$F160)</f>
        <v/>
      </c>
      <c r="F195" s="21" t="str">
        <f>IF(PRENDAS!$B160="","",PRENDAS!$G160)</f>
        <v/>
      </c>
      <c r="G195" s="21" t="str">
        <f>IF(PRENDAS!$B160="","",PRENDAS!$H160)</f>
        <v/>
      </c>
      <c r="H195" s="21" t="str">
        <f>IF(PRENDAS!$B160="","",PRENDAS!$I160)</f>
        <v/>
      </c>
      <c r="I195" s="21" t="str">
        <f>IF(PRENDAS!$B160="","",PRENDAS!$J160)</f>
        <v/>
      </c>
      <c r="J195" s="21" t="str">
        <f>IF(PRENDAS!$B160="","",PRENDAS!$P160)</f>
        <v/>
      </c>
    </row>
    <row r="196" ht="15.0" customHeight="1">
      <c r="A196" s="30" t="str">
        <f>IF(PRENDAS!$B161="","",PRENDAS!$A161)</f>
        <v/>
      </c>
      <c r="B196" s="21" t="str">
        <f>IF(PRENDAS!$B161="","",PRENDAS!$B161)</f>
        <v/>
      </c>
      <c r="C196" s="21" t="str">
        <f>IF(PRENDAS!$B161="","",PRENDAS!$D161)</f>
        <v/>
      </c>
      <c r="D196" s="30" t="str">
        <f>IF(PRENDAS!$B161="","",PRENDAS!$E161)</f>
        <v/>
      </c>
      <c r="E196" s="30" t="str">
        <f>IF(PRENDAS!$B161="","",PRENDAS!$F161)</f>
        <v/>
      </c>
      <c r="F196" s="21" t="str">
        <f>IF(PRENDAS!$B161="","",PRENDAS!$G161)</f>
        <v/>
      </c>
      <c r="G196" s="21" t="str">
        <f>IF(PRENDAS!$B161="","",PRENDAS!$H161)</f>
        <v/>
      </c>
      <c r="H196" s="21" t="str">
        <f>IF(PRENDAS!$B161="","",PRENDAS!$I161)</f>
        <v/>
      </c>
      <c r="I196" s="21" t="str">
        <f>IF(PRENDAS!$B161="","",PRENDAS!$J161)</f>
        <v/>
      </c>
      <c r="J196" s="21" t="str">
        <f>IF(PRENDAS!$B161="","",PRENDAS!$P161)</f>
        <v/>
      </c>
    </row>
    <row r="197" ht="15.0" customHeight="1">
      <c r="A197" s="30" t="str">
        <f>IF(PRENDAS!$B162="","",PRENDAS!$A162)</f>
        <v/>
      </c>
      <c r="B197" s="21" t="str">
        <f>IF(PRENDAS!$B162="","",PRENDAS!$B162)</f>
        <v/>
      </c>
      <c r="C197" s="21" t="str">
        <f>IF(PRENDAS!$B162="","",PRENDAS!$D162)</f>
        <v/>
      </c>
      <c r="D197" s="30" t="str">
        <f>IF(PRENDAS!$B162="","",PRENDAS!$E162)</f>
        <v/>
      </c>
      <c r="E197" s="30" t="str">
        <f>IF(PRENDAS!$B162="","",PRENDAS!$F162)</f>
        <v/>
      </c>
      <c r="F197" s="21" t="str">
        <f>IF(PRENDAS!$B162="","",PRENDAS!$G162)</f>
        <v/>
      </c>
      <c r="G197" s="21" t="str">
        <f>IF(PRENDAS!$B162="","",PRENDAS!$H162)</f>
        <v/>
      </c>
      <c r="H197" s="21" t="str">
        <f>IF(PRENDAS!$B162="","",PRENDAS!$I162)</f>
        <v/>
      </c>
      <c r="I197" s="21" t="str">
        <f>IF(PRENDAS!$B162="","",PRENDAS!$J162)</f>
        <v/>
      </c>
      <c r="J197" s="21" t="str">
        <f>IF(PRENDAS!$B162="","",PRENDAS!$P162)</f>
        <v/>
      </c>
    </row>
    <row r="198" ht="15.0" customHeight="1">
      <c r="A198" s="30" t="str">
        <f>IF(PRENDAS!$B163="","",PRENDAS!$A163)</f>
        <v/>
      </c>
      <c r="B198" s="21" t="str">
        <f>IF(PRENDAS!$B163="","",PRENDAS!$B163)</f>
        <v/>
      </c>
      <c r="C198" s="21" t="str">
        <f>IF(PRENDAS!$B163="","",PRENDAS!$D163)</f>
        <v/>
      </c>
      <c r="D198" s="30" t="str">
        <f>IF(PRENDAS!$B163="","",PRENDAS!$E163)</f>
        <v/>
      </c>
      <c r="E198" s="30" t="str">
        <f>IF(PRENDAS!$B163="","",PRENDAS!$F163)</f>
        <v/>
      </c>
      <c r="F198" s="21" t="str">
        <f>IF(PRENDAS!$B163="","",PRENDAS!$G163)</f>
        <v/>
      </c>
      <c r="G198" s="21" t="str">
        <f>IF(PRENDAS!$B163="","",PRENDAS!$H163)</f>
        <v/>
      </c>
      <c r="H198" s="21" t="str">
        <f>IF(PRENDAS!$B163="","",PRENDAS!$I163)</f>
        <v/>
      </c>
      <c r="I198" s="21" t="str">
        <f>IF(PRENDAS!$B163="","",PRENDAS!$J163)</f>
        <v/>
      </c>
      <c r="J198" s="21" t="str">
        <f>IF(PRENDAS!$B163="","",PRENDAS!$P163)</f>
        <v/>
      </c>
    </row>
    <row r="199" ht="15.0" customHeight="1">
      <c r="A199" s="30" t="str">
        <f>IF(PRENDAS!$B164="","",PRENDAS!$A164)</f>
        <v/>
      </c>
      <c r="B199" s="21" t="str">
        <f>IF(PRENDAS!$B164="","",PRENDAS!$B164)</f>
        <v/>
      </c>
      <c r="C199" s="21" t="str">
        <f>IF(PRENDAS!$B164="","",PRENDAS!$D164)</f>
        <v/>
      </c>
      <c r="D199" s="30" t="str">
        <f>IF(PRENDAS!$B164="","",PRENDAS!$E164)</f>
        <v/>
      </c>
      <c r="E199" s="30" t="str">
        <f>IF(PRENDAS!$B164="","",PRENDAS!$F164)</f>
        <v/>
      </c>
      <c r="F199" s="21" t="str">
        <f>IF(PRENDAS!$B164="","",PRENDAS!$G164)</f>
        <v/>
      </c>
      <c r="G199" s="21" t="str">
        <f>IF(PRENDAS!$B164="","",PRENDAS!$H164)</f>
        <v/>
      </c>
      <c r="H199" s="21" t="str">
        <f>IF(PRENDAS!$B164="","",PRENDAS!$I164)</f>
        <v/>
      </c>
      <c r="I199" s="21" t="str">
        <f>IF(PRENDAS!$B164="","",PRENDAS!$J164)</f>
        <v/>
      </c>
      <c r="J199" s="21" t="str">
        <f>IF(PRENDAS!$B164="","",PRENDAS!$P164)</f>
        <v/>
      </c>
    </row>
    <row r="200" ht="15.0" customHeight="1">
      <c r="A200" s="30" t="str">
        <f>IF(PRENDAS!$B165="","",PRENDAS!$A165)</f>
        <v/>
      </c>
      <c r="B200" s="21" t="str">
        <f>IF(PRENDAS!$B165="","",PRENDAS!$B165)</f>
        <v/>
      </c>
      <c r="C200" s="21" t="str">
        <f>IF(PRENDAS!$B165="","",PRENDAS!$D165)</f>
        <v/>
      </c>
      <c r="D200" s="30" t="str">
        <f>IF(PRENDAS!$B165="","",PRENDAS!$E165)</f>
        <v/>
      </c>
      <c r="E200" s="30" t="str">
        <f>IF(PRENDAS!$B165="","",PRENDAS!$F165)</f>
        <v/>
      </c>
      <c r="F200" s="21" t="str">
        <f>IF(PRENDAS!$B165="","",PRENDAS!$G165)</f>
        <v/>
      </c>
      <c r="G200" s="21" t="str">
        <f>IF(PRENDAS!$B165="","",PRENDAS!$H165)</f>
        <v/>
      </c>
      <c r="H200" s="21" t="str">
        <f>IF(PRENDAS!$B165="","",PRENDAS!$I165)</f>
        <v/>
      </c>
      <c r="I200" s="21" t="str">
        <f>IF(PRENDAS!$B165="","",PRENDAS!$J165)</f>
        <v/>
      </c>
      <c r="J200" s="21" t="str">
        <f>IF(PRENDAS!$B165="","",PRENDAS!$P165)</f>
        <v/>
      </c>
    </row>
    <row r="201" ht="15.0" customHeight="1">
      <c r="A201" s="30" t="str">
        <f>IF(PRENDAS!$B166="","",PRENDAS!$A166)</f>
        <v/>
      </c>
      <c r="B201" s="21" t="str">
        <f>IF(PRENDAS!$B166="","",PRENDAS!$B166)</f>
        <v/>
      </c>
      <c r="C201" s="21" t="str">
        <f>IF(PRENDAS!$B166="","",PRENDAS!$D166)</f>
        <v/>
      </c>
      <c r="D201" s="30" t="str">
        <f>IF(PRENDAS!$B166="","",PRENDAS!$E166)</f>
        <v/>
      </c>
      <c r="E201" s="30" t="str">
        <f>IF(PRENDAS!$B166="","",PRENDAS!$F166)</f>
        <v/>
      </c>
      <c r="F201" s="21" t="str">
        <f>IF(PRENDAS!$B166="","",PRENDAS!$G166)</f>
        <v/>
      </c>
      <c r="G201" s="21" t="str">
        <f>IF(PRENDAS!$B166="","",PRENDAS!$H166)</f>
        <v/>
      </c>
      <c r="H201" s="21" t="str">
        <f>IF(PRENDAS!$B166="","",PRENDAS!$I166)</f>
        <v/>
      </c>
      <c r="I201" s="21" t="str">
        <f>IF(PRENDAS!$B166="","",PRENDAS!$J166)</f>
        <v/>
      </c>
      <c r="J201" s="21" t="str">
        <f>IF(PRENDAS!$B166="","",PRENDAS!$P166)</f>
        <v/>
      </c>
    </row>
    <row r="202" ht="15.0" customHeight="1">
      <c r="A202" s="30" t="str">
        <f>IF(PRENDAS!$B167="","",PRENDAS!$A167)</f>
        <v/>
      </c>
      <c r="B202" s="21" t="str">
        <f>IF(PRENDAS!$B167="","",PRENDAS!$B167)</f>
        <v/>
      </c>
      <c r="C202" s="21" t="str">
        <f>IF(PRENDAS!$B167="","",PRENDAS!$D167)</f>
        <v/>
      </c>
      <c r="D202" s="30" t="str">
        <f>IF(PRENDAS!$B167="","",PRENDAS!$E167)</f>
        <v/>
      </c>
      <c r="E202" s="30" t="str">
        <f>IF(PRENDAS!$B167="","",PRENDAS!$F167)</f>
        <v/>
      </c>
      <c r="F202" s="21" t="str">
        <f>IF(PRENDAS!$B167="","",PRENDAS!$G167)</f>
        <v/>
      </c>
      <c r="G202" s="21" t="str">
        <f>IF(PRENDAS!$B167="","",PRENDAS!$H167)</f>
        <v/>
      </c>
      <c r="H202" s="21" t="str">
        <f>IF(PRENDAS!$B167="","",PRENDAS!$I167)</f>
        <v/>
      </c>
      <c r="I202" s="21" t="str">
        <f>IF(PRENDAS!$B167="","",PRENDAS!$J167)</f>
        <v/>
      </c>
      <c r="J202" s="21" t="str">
        <f>IF(PRENDAS!$B167="","",PRENDAS!$P167)</f>
        <v/>
      </c>
    </row>
    <row r="203" ht="15.0" customHeight="1">
      <c r="A203" s="30" t="str">
        <f>IF(PRENDAS!$B168="","",PRENDAS!$A168)</f>
        <v/>
      </c>
      <c r="B203" s="21" t="str">
        <f>IF(PRENDAS!$B168="","",PRENDAS!$B168)</f>
        <v/>
      </c>
      <c r="C203" s="21" t="str">
        <f>IF(PRENDAS!$B168="","",PRENDAS!$D168)</f>
        <v/>
      </c>
      <c r="D203" s="30" t="str">
        <f>IF(PRENDAS!$B168="","",PRENDAS!$E168)</f>
        <v/>
      </c>
      <c r="E203" s="30" t="str">
        <f>IF(PRENDAS!$B168="","",PRENDAS!$F168)</f>
        <v/>
      </c>
      <c r="F203" s="21" t="str">
        <f>IF(PRENDAS!$B168="","",PRENDAS!$G168)</f>
        <v/>
      </c>
      <c r="G203" s="21" t="str">
        <f>IF(PRENDAS!$B168="","",PRENDAS!$H168)</f>
        <v/>
      </c>
      <c r="H203" s="21" t="str">
        <f>IF(PRENDAS!$B168="","",PRENDAS!$I168)</f>
        <v/>
      </c>
      <c r="I203" s="21" t="str">
        <f>IF(PRENDAS!$B168="","",PRENDAS!$J168)</f>
        <v/>
      </c>
      <c r="J203" s="21" t="str">
        <f>IF(PRENDAS!$B168="","",PRENDAS!$P168)</f>
        <v/>
      </c>
    </row>
    <row r="204" ht="15.0" customHeight="1">
      <c r="A204" s="30" t="str">
        <f>IF(PRENDAS!$B169="","",PRENDAS!$A169)</f>
        <v/>
      </c>
      <c r="B204" s="21" t="str">
        <f>IF(PRENDAS!$B169="","",PRENDAS!$B169)</f>
        <v/>
      </c>
      <c r="C204" s="21" t="str">
        <f>IF(PRENDAS!$B169="","",PRENDAS!$D169)</f>
        <v/>
      </c>
      <c r="D204" s="30" t="str">
        <f>IF(PRENDAS!$B169="","",PRENDAS!$E169)</f>
        <v/>
      </c>
      <c r="E204" s="30" t="str">
        <f>IF(PRENDAS!$B169="","",PRENDAS!$F169)</f>
        <v/>
      </c>
      <c r="F204" s="21" t="str">
        <f>IF(PRENDAS!$B169="","",PRENDAS!$G169)</f>
        <v/>
      </c>
      <c r="G204" s="21" t="str">
        <f>IF(PRENDAS!$B169="","",PRENDAS!$H169)</f>
        <v/>
      </c>
      <c r="H204" s="21" t="str">
        <f>IF(PRENDAS!$B169="","",PRENDAS!$I169)</f>
        <v/>
      </c>
      <c r="I204" s="21" t="str">
        <f>IF(PRENDAS!$B169="","",PRENDAS!$J169)</f>
        <v/>
      </c>
      <c r="J204" s="21" t="str">
        <f>IF(PRENDAS!$B169="","",PRENDAS!$P169)</f>
        <v/>
      </c>
    </row>
    <row r="205" ht="15.0" customHeight="1">
      <c r="A205" s="30" t="str">
        <f>IF(PRENDAS!$B170="","",PRENDAS!$A170)</f>
        <v/>
      </c>
      <c r="B205" s="21" t="str">
        <f>IF(PRENDAS!$B170="","",PRENDAS!$B170)</f>
        <v/>
      </c>
      <c r="C205" s="21" t="str">
        <f>IF(PRENDAS!$B170="","",PRENDAS!$D170)</f>
        <v/>
      </c>
      <c r="D205" s="30" t="str">
        <f>IF(PRENDAS!$B170="","",PRENDAS!$E170)</f>
        <v/>
      </c>
      <c r="E205" s="30" t="str">
        <f>IF(PRENDAS!$B170="","",PRENDAS!$F170)</f>
        <v/>
      </c>
      <c r="F205" s="21" t="str">
        <f>IF(PRENDAS!$B170="","",PRENDAS!$G170)</f>
        <v/>
      </c>
      <c r="G205" s="21" t="str">
        <f>IF(PRENDAS!$B170="","",PRENDAS!$H170)</f>
        <v/>
      </c>
      <c r="H205" s="21" t="str">
        <f>IF(PRENDAS!$B170="","",PRENDAS!$I170)</f>
        <v/>
      </c>
      <c r="I205" s="21" t="str">
        <f>IF(PRENDAS!$B170="","",PRENDAS!$J170)</f>
        <v/>
      </c>
      <c r="J205" s="21" t="str">
        <f>IF(PRENDAS!$B170="","",PRENDAS!$P170)</f>
        <v/>
      </c>
    </row>
    <row r="206" ht="15.0" customHeight="1">
      <c r="A206" s="30" t="str">
        <f>IF(PRENDAS!$B171="","",PRENDAS!$A171)</f>
        <v/>
      </c>
      <c r="B206" s="21" t="str">
        <f>IF(PRENDAS!$B171="","",PRENDAS!$B171)</f>
        <v/>
      </c>
      <c r="C206" s="21" t="str">
        <f>IF(PRENDAS!$B171="","",PRENDAS!$D171)</f>
        <v/>
      </c>
      <c r="D206" s="30" t="str">
        <f>IF(PRENDAS!$B171="","",PRENDAS!$E171)</f>
        <v/>
      </c>
      <c r="E206" s="30" t="str">
        <f>IF(PRENDAS!$B171="","",PRENDAS!$F171)</f>
        <v/>
      </c>
      <c r="F206" s="21" t="str">
        <f>IF(PRENDAS!$B171="","",PRENDAS!$G171)</f>
        <v/>
      </c>
      <c r="G206" s="21" t="str">
        <f>IF(PRENDAS!$B171="","",PRENDAS!$H171)</f>
        <v/>
      </c>
      <c r="H206" s="21" t="str">
        <f>IF(PRENDAS!$B171="","",PRENDAS!$I171)</f>
        <v/>
      </c>
      <c r="I206" s="21" t="str">
        <f>IF(PRENDAS!$B171="","",PRENDAS!$J171)</f>
        <v/>
      </c>
      <c r="J206" s="21" t="str">
        <f>IF(PRENDAS!$B171="","",PRENDAS!$P171)</f>
        <v/>
      </c>
    </row>
    <row r="207" ht="15.0" customHeight="1">
      <c r="A207" s="30" t="str">
        <f>IF(PRENDAS!$B172="","",PRENDAS!$A172)</f>
        <v/>
      </c>
      <c r="B207" s="21" t="str">
        <f>IF(PRENDAS!$B172="","",PRENDAS!$B172)</f>
        <v/>
      </c>
      <c r="C207" s="21" t="str">
        <f>IF(PRENDAS!$B172="","",PRENDAS!$D172)</f>
        <v/>
      </c>
      <c r="D207" s="30" t="str">
        <f>IF(PRENDAS!$B172="","",PRENDAS!$E172)</f>
        <v/>
      </c>
      <c r="E207" s="30" t="str">
        <f>IF(PRENDAS!$B172="","",PRENDAS!$F172)</f>
        <v/>
      </c>
      <c r="F207" s="21" t="str">
        <f>IF(PRENDAS!$B172="","",PRENDAS!$G172)</f>
        <v/>
      </c>
      <c r="G207" s="21" t="str">
        <f>IF(PRENDAS!$B172="","",PRENDAS!$H172)</f>
        <v/>
      </c>
      <c r="H207" s="21" t="str">
        <f>IF(PRENDAS!$B172="","",PRENDAS!$I172)</f>
        <v/>
      </c>
      <c r="I207" s="21" t="str">
        <f>IF(PRENDAS!$B172="","",PRENDAS!$J172)</f>
        <v/>
      </c>
      <c r="J207" s="21" t="str">
        <f>IF(PRENDAS!$B172="","",PRENDAS!$P172)</f>
        <v/>
      </c>
    </row>
    <row r="208" ht="15.0" customHeight="1">
      <c r="A208" s="30" t="str">
        <f>IF(PRENDAS!$B173="","",PRENDAS!$A173)</f>
        <v/>
      </c>
      <c r="B208" s="21" t="str">
        <f>IF(PRENDAS!$B173="","",PRENDAS!$B173)</f>
        <v/>
      </c>
      <c r="C208" s="21" t="str">
        <f>IF(PRENDAS!$B173="","",PRENDAS!$D173)</f>
        <v/>
      </c>
      <c r="D208" s="30" t="str">
        <f>IF(PRENDAS!$B173="","",PRENDAS!$E173)</f>
        <v/>
      </c>
      <c r="E208" s="30" t="str">
        <f>IF(PRENDAS!$B173="","",PRENDAS!$F173)</f>
        <v/>
      </c>
      <c r="F208" s="21" t="str">
        <f>IF(PRENDAS!$B173="","",PRENDAS!$G173)</f>
        <v/>
      </c>
      <c r="G208" s="21" t="str">
        <f>IF(PRENDAS!$B173="","",PRENDAS!$H173)</f>
        <v/>
      </c>
      <c r="H208" s="21" t="str">
        <f>IF(PRENDAS!$B173="","",PRENDAS!$I173)</f>
        <v/>
      </c>
      <c r="I208" s="21" t="str">
        <f>IF(PRENDAS!$B173="","",PRENDAS!$J173)</f>
        <v/>
      </c>
      <c r="J208" s="21" t="str">
        <f>IF(PRENDAS!$B173="","",PRENDAS!$P173)</f>
        <v/>
      </c>
    </row>
    <row r="209" ht="15.0" customHeight="1">
      <c r="A209" s="30" t="str">
        <f>IF(PRENDAS!$B174="","",PRENDAS!$A174)</f>
        <v/>
      </c>
      <c r="B209" s="21" t="str">
        <f>IF(PRENDAS!$B174="","",PRENDAS!$B174)</f>
        <v/>
      </c>
      <c r="C209" s="21" t="str">
        <f>IF(PRENDAS!$B174="","",PRENDAS!$D174)</f>
        <v/>
      </c>
      <c r="D209" s="30" t="str">
        <f>IF(PRENDAS!$B174="","",PRENDAS!$E174)</f>
        <v/>
      </c>
      <c r="E209" s="30" t="str">
        <f>IF(PRENDAS!$B174="","",PRENDAS!$F174)</f>
        <v/>
      </c>
      <c r="F209" s="21" t="str">
        <f>IF(PRENDAS!$B174="","",PRENDAS!$G174)</f>
        <v/>
      </c>
      <c r="G209" s="21" t="str">
        <f>IF(PRENDAS!$B174="","",PRENDAS!$H174)</f>
        <v/>
      </c>
      <c r="H209" s="21" t="str">
        <f>IF(PRENDAS!$B174="","",PRENDAS!$I174)</f>
        <v/>
      </c>
      <c r="I209" s="21" t="str">
        <f>IF(PRENDAS!$B174="","",PRENDAS!$J174)</f>
        <v/>
      </c>
      <c r="J209" s="21" t="str">
        <f>IF(PRENDAS!$B174="","",PRENDAS!$P174)</f>
        <v/>
      </c>
    </row>
    <row r="210" ht="15.0" customHeight="1">
      <c r="A210" s="30" t="str">
        <f>IF(PRENDAS!$B175="","",PRENDAS!$A175)</f>
        <v/>
      </c>
      <c r="B210" s="21" t="str">
        <f>IF(PRENDAS!$B175="","",PRENDAS!$B175)</f>
        <v/>
      </c>
      <c r="C210" s="21" t="str">
        <f>IF(PRENDAS!$B175="","",PRENDAS!$D175)</f>
        <v/>
      </c>
      <c r="D210" s="30" t="str">
        <f>IF(PRENDAS!$B175="","",PRENDAS!$E175)</f>
        <v/>
      </c>
      <c r="E210" s="30" t="str">
        <f>IF(PRENDAS!$B175="","",PRENDAS!$F175)</f>
        <v/>
      </c>
      <c r="F210" s="21" t="str">
        <f>IF(PRENDAS!$B175="","",PRENDAS!$G175)</f>
        <v/>
      </c>
      <c r="G210" s="21" t="str">
        <f>IF(PRENDAS!$B175="","",PRENDAS!$H175)</f>
        <v/>
      </c>
      <c r="H210" s="21" t="str">
        <f>IF(PRENDAS!$B175="","",PRENDAS!$I175)</f>
        <v/>
      </c>
      <c r="I210" s="21" t="str">
        <f>IF(PRENDAS!$B175="","",PRENDAS!$J175)</f>
        <v/>
      </c>
      <c r="J210" s="21" t="str">
        <f>IF(PRENDAS!$B175="","",PRENDAS!$P175)</f>
        <v/>
      </c>
    </row>
    <row r="211" ht="15.0" customHeight="1">
      <c r="A211" s="30" t="str">
        <f>IF(PRENDAS!$B176="","",PRENDAS!$A176)</f>
        <v/>
      </c>
      <c r="B211" s="21" t="str">
        <f>IF(PRENDAS!$B176="","",PRENDAS!$B176)</f>
        <v/>
      </c>
      <c r="C211" s="21" t="str">
        <f>IF(PRENDAS!$B176="","",PRENDAS!$D176)</f>
        <v/>
      </c>
      <c r="D211" s="30" t="str">
        <f>IF(PRENDAS!$B176="","",PRENDAS!$E176)</f>
        <v/>
      </c>
      <c r="E211" s="30" t="str">
        <f>IF(PRENDAS!$B176="","",PRENDAS!$F176)</f>
        <v/>
      </c>
      <c r="F211" s="21" t="str">
        <f>IF(PRENDAS!$B176="","",PRENDAS!$G176)</f>
        <v/>
      </c>
      <c r="G211" s="21" t="str">
        <f>IF(PRENDAS!$B176="","",PRENDAS!$H176)</f>
        <v/>
      </c>
      <c r="H211" s="21" t="str">
        <f>IF(PRENDAS!$B176="","",PRENDAS!$I176)</f>
        <v/>
      </c>
      <c r="I211" s="21" t="str">
        <f>IF(PRENDAS!$B176="","",PRENDAS!$J176)</f>
        <v/>
      </c>
      <c r="J211" s="21" t="str">
        <f>IF(PRENDAS!$B176="","",PRENDAS!$P176)</f>
        <v/>
      </c>
    </row>
    <row r="212" ht="15.0" customHeight="1">
      <c r="A212" s="30" t="str">
        <f>IF(PRENDAS!$B177="","",PRENDAS!$A177)</f>
        <v/>
      </c>
      <c r="B212" s="21" t="str">
        <f>IF(PRENDAS!$B177="","",PRENDAS!$B177)</f>
        <v/>
      </c>
      <c r="C212" s="21" t="str">
        <f>IF(PRENDAS!$B177="","",PRENDAS!$D177)</f>
        <v/>
      </c>
      <c r="D212" s="30" t="str">
        <f>IF(PRENDAS!$B177="","",PRENDAS!$E177)</f>
        <v/>
      </c>
      <c r="E212" s="30" t="str">
        <f>IF(PRENDAS!$B177="","",PRENDAS!$F177)</f>
        <v/>
      </c>
      <c r="F212" s="21" t="str">
        <f>IF(PRENDAS!$B177="","",PRENDAS!$G177)</f>
        <v/>
      </c>
      <c r="G212" s="21" t="str">
        <f>IF(PRENDAS!$B177="","",PRENDAS!$H177)</f>
        <v/>
      </c>
      <c r="H212" s="21" t="str">
        <f>IF(PRENDAS!$B177="","",PRENDAS!$I177)</f>
        <v/>
      </c>
      <c r="I212" s="21" t="str">
        <f>IF(PRENDAS!$B177="","",PRENDAS!$J177)</f>
        <v/>
      </c>
      <c r="J212" s="21" t="str">
        <f>IF(PRENDAS!$B177="","",PRENDAS!$P177)</f>
        <v/>
      </c>
    </row>
    <row r="213" ht="15.0" customHeight="1">
      <c r="A213" s="30" t="str">
        <f>IF(PRENDAS!$B178="","",PRENDAS!$A178)</f>
        <v/>
      </c>
      <c r="B213" s="21" t="str">
        <f>IF(PRENDAS!$B178="","",PRENDAS!$B178)</f>
        <v/>
      </c>
      <c r="C213" s="21" t="str">
        <f>IF(PRENDAS!$B178="","",PRENDAS!$D178)</f>
        <v/>
      </c>
      <c r="D213" s="30" t="str">
        <f>IF(PRENDAS!$B178="","",PRENDAS!$E178)</f>
        <v/>
      </c>
      <c r="E213" s="30" t="str">
        <f>IF(PRENDAS!$B178="","",PRENDAS!$F178)</f>
        <v/>
      </c>
      <c r="F213" s="21" t="str">
        <f>IF(PRENDAS!$B178="","",PRENDAS!$G178)</f>
        <v/>
      </c>
      <c r="G213" s="21" t="str">
        <f>IF(PRENDAS!$B178="","",PRENDAS!$H178)</f>
        <v/>
      </c>
      <c r="H213" s="21" t="str">
        <f>IF(PRENDAS!$B178="","",PRENDAS!$I178)</f>
        <v/>
      </c>
      <c r="I213" s="21" t="str">
        <f>IF(PRENDAS!$B178="","",PRENDAS!$J178)</f>
        <v/>
      </c>
      <c r="J213" s="21" t="str">
        <f>IF(PRENDAS!$B178="","",PRENDAS!$P178)</f>
        <v/>
      </c>
    </row>
    <row r="214" ht="15.0" customHeight="1">
      <c r="A214" s="30" t="str">
        <f>IF(PRENDAS!$B179="","",PRENDAS!$A179)</f>
        <v/>
      </c>
      <c r="B214" s="21" t="str">
        <f>IF(PRENDAS!$B179="","",PRENDAS!$B179)</f>
        <v/>
      </c>
      <c r="C214" s="21" t="str">
        <f>IF(PRENDAS!$B179="","",PRENDAS!$D179)</f>
        <v/>
      </c>
      <c r="D214" s="30" t="str">
        <f>IF(PRENDAS!$B179="","",PRENDAS!$E179)</f>
        <v/>
      </c>
      <c r="E214" s="30" t="str">
        <f>IF(PRENDAS!$B179="","",PRENDAS!$F179)</f>
        <v/>
      </c>
      <c r="F214" s="21" t="str">
        <f>IF(PRENDAS!$B179="","",PRENDAS!$G179)</f>
        <v/>
      </c>
      <c r="G214" s="21" t="str">
        <f>IF(PRENDAS!$B179="","",PRENDAS!$H179)</f>
        <v/>
      </c>
      <c r="H214" s="21" t="str">
        <f>IF(PRENDAS!$B179="","",PRENDAS!$I179)</f>
        <v/>
      </c>
      <c r="I214" s="21" t="str">
        <f>IF(PRENDAS!$B179="","",PRENDAS!$J179)</f>
        <v/>
      </c>
      <c r="J214" s="21" t="str">
        <f>IF(PRENDAS!$B179="","",PRENDAS!$P179)</f>
        <v/>
      </c>
    </row>
    <row r="215" ht="15.0" customHeight="1">
      <c r="A215" s="30" t="str">
        <f>IF(PRENDAS!$B180="","",PRENDAS!$A180)</f>
        <v/>
      </c>
      <c r="B215" s="21" t="str">
        <f>IF(PRENDAS!$B180="","",PRENDAS!$B180)</f>
        <v/>
      </c>
      <c r="C215" s="21" t="str">
        <f>IF(PRENDAS!$B180="","",PRENDAS!$D180)</f>
        <v/>
      </c>
      <c r="D215" s="30" t="str">
        <f>IF(PRENDAS!$B180="","",PRENDAS!$E180)</f>
        <v/>
      </c>
      <c r="E215" s="30" t="str">
        <f>IF(PRENDAS!$B180="","",PRENDAS!$F180)</f>
        <v/>
      </c>
      <c r="F215" s="21" t="str">
        <f>IF(PRENDAS!$B180="","",PRENDAS!$G180)</f>
        <v/>
      </c>
      <c r="G215" s="21" t="str">
        <f>IF(PRENDAS!$B180="","",PRENDAS!$H180)</f>
        <v/>
      </c>
      <c r="H215" s="21" t="str">
        <f>IF(PRENDAS!$B180="","",PRENDAS!$I180)</f>
        <v/>
      </c>
      <c r="I215" s="21" t="str">
        <f>IF(PRENDAS!$B180="","",PRENDAS!$J180)</f>
        <v/>
      </c>
      <c r="J215" s="21" t="str">
        <f>IF(PRENDAS!$B180="","",PRENDAS!$P180)</f>
        <v/>
      </c>
    </row>
    <row r="216" ht="15.0" customHeight="1">
      <c r="A216" s="30" t="str">
        <f>IF(PRENDAS!$B181="","",PRENDAS!$A181)</f>
        <v/>
      </c>
      <c r="B216" s="21" t="str">
        <f>IF(PRENDAS!$B181="","",PRENDAS!$B181)</f>
        <v/>
      </c>
      <c r="C216" s="21" t="str">
        <f>IF(PRENDAS!$B181="","",PRENDAS!$D181)</f>
        <v/>
      </c>
      <c r="D216" s="30" t="str">
        <f>IF(PRENDAS!$B181="","",PRENDAS!$E181)</f>
        <v/>
      </c>
      <c r="E216" s="30" t="str">
        <f>IF(PRENDAS!$B181="","",PRENDAS!$F181)</f>
        <v/>
      </c>
      <c r="F216" s="21" t="str">
        <f>IF(PRENDAS!$B181="","",PRENDAS!$G181)</f>
        <v/>
      </c>
      <c r="G216" s="21" t="str">
        <f>IF(PRENDAS!$B181="","",PRENDAS!$H181)</f>
        <v/>
      </c>
      <c r="H216" s="21" t="str">
        <f>IF(PRENDAS!$B181="","",PRENDAS!$I181)</f>
        <v/>
      </c>
      <c r="I216" s="21" t="str">
        <f>IF(PRENDAS!$B181="","",PRENDAS!$J181)</f>
        <v/>
      </c>
      <c r="J216" s="21" t="str">
        <f>IF(PRENDAS!$B181="","",PRENDAS!$P181)</f>
        <v/>
      </c>
    </row>
    <row r="217" ht="15.0" customHeight="1">
      <c r="A217" s="30" t="str">
        <f>IF(PRENDAS!$B182="","",PRENDAS!$A182)</f>
        <v/>
      </c>
      <c r="B217" s="21" t="str">
        <f>IF(PRENDAS!$B182="","",PRENDAS!$B182)</f>
        <v/>
      </c>
      <c r="C217" s="21" t="str">
        <f>IF(PRENDAS!$B182="","",PRENDAS!$D182)</f>
        <v/>
      </c>
      <c r="D217" s="30" t="str">
        <f>IF(PRENDAS!$B182="","",PRENDAS!$E182)</f>
        <v/>
      </c>
      <c r="E217" s="30" t="str">
        <f>IF(PRENDAS!$B182="","",PRENDAS!$F182)</f>
        <v/>
      </c>
      <c r="F217" s="21" t="str">
        <f>IF(PRENDAS!$B182="","",PRENDAS!$G182)</f>
        <v/>
      </c>
      <c r="G217" s="21" t="str">
        <f>IF(PRENDAS!$B182="","",PRENDAS!$H182)</f>
        <v/>
      </c>
      <c r="H217" s="21" t="str">
        <f>IF(PRENDAS!$B182="","",PRENDAS!$I182)</f>
        <v/>
      </c>
      <c r="I217" s="21" t="str">
        <f>IF(PRENDAS!$B182="","",PRENDAS!$J182)</f>
        <v/>
      </c>
      <c r="J217" s="21" t="str">
        <f>IF(PRENDAS!$B182="","",PRENDAS!$P182)</f>
        <v/>
      </c>
    </row>
    <row r="218" ht="15.0" customHeight="1">
      <c r="A218" s="30" t="str">
        <f>IF(PRENDAS!$B183="","",PRENDAS!$A183)</f>
        <v/>
      </c>
      <c r="B218" s="21" t="str">
        <f>IF(PRENDAS!$B183="","",PRENDAS!$B183)</f>
        <v/>
      </c>
      <c r="C218" s="21" t="str">
        <f>IF(PRENDAS!$B183="","",PRENDAS!$D183)</f>
        <v/>
      </c>
      <c r="D218" s="30" t="str">
        <f>IF(PRENDAS!$B183="","",PRENDAS!$E183)</f>
        <v/>
      </c>
      <c r="E218" s="30" t="str">
        <f>IF(PRENDAS!$B183="","",PRENDAS!$F183)</f>
        <v/>
      </c>
      <c r="F218" s="21" t="str">
        <f>IF(PRENDAS!$B183="","",PRENDAS!$G183)</f>
        <v/>
      </c>
      <c r="G218" s="21" t="str">
        <f>IF(PRENDAS!$B183="","",PRENDAS!$H183)</f>
        <v/>
      </c>
      <c r="H218" s="21" t="str">
        <f>IF(PRENDAS!$B183="","",PRENDAS!$I183)</f>
        <v/>
      </c>
      <c r="I218" s="21" t="str">
        <f>IF(PRENDAS!$B183="","",PRENDAS!$J183)</f>
        <v/>
      </c>
      <c r="J218" s="21" t="str">
        <f>IF(PRENDAS!$B183="","",PRENDAS!$P183)</f>
        <v/>
      </c>
    </row>
    <row r="219" ht="15.0" customHeight="1">
      <c r="A219" s="30" t="str">
        <f>IF(PRENDAS!$B184="","",PRENDAS!$A184)</f>
        <v/>
      </c>
      <c r="B219" s="21" t="str">
        <f>IF(PRENDAS!$B184="","",PRENDAS!$B184)</f>
        <v/>
      </c>
      <c r="C219" s="21" t="str">
        <f>IF(PRENDAS!$B184="","",PRENDAS!$D184)</f>
        <v/>
      </c>
      <c r="D219" s="30" t="str">
        <f>IF(PRENDAS!$B184="","",PRENDAS!$E184)</f>
        <v/>
      </c>
      <c r="E219" s="30" t="str">
        <f>IF(PRENDAS!$B184="","",PRENDAS!$F184)</f>
        <v/>
      </c>
      <c r="F219" s="21" t="str">
        <f>IF(PRENDAS!$B184="","",PRENDAS!$G184)</f>
        <v/>
      </c>
      <c r="G219" s="21" t="str">
        <f>IF(PRENDAS!$B184="","",PRENDAS!$H184)</f>
        <v/>
      </c>
      <c r="H219" s="21" t="str">
        <f>IF(PRENDAS!$B184="","",PRENDAS!$I184)</f>
        <v/>
      </c>
      <c r="I219" s="21" t="str">
        <f>IF(PRENDAS!$B184="","",PRENDAS!$J184)</f>
        <v/>
      </c>
      <c r="J219" s="21" t="str">
        <f>IF(PRENDAS!$B184="","",PRENDAS!$P184)</f>
        <v/>
      </c>
    </row>
    <row r="220" ht="15.0" customHeight="1">
      <c r="A220" s="30" t="str">
        <f>IF(PRENDAS!$B185="","",PRENDAS!$A185)</f>
        <v/>
      </c>
      <c r="B220" s="21" t="str">
        <f>IF(PRENDAS!$B185="","",PRENDAS!$B185)</f>
        <v/>
      </c>
      <c r="C220" s="21" t="str">
        <f>IF(PRENDAS!$B185="","",PRENDAS!$D185)</f>
        <v/>
      </c>
      <c r="D220" s="30" t="str">
        <f>IF(PRENDAS!$B185="","",PRENDAS!$E185)</f>
        <v/>
      </c>
      <c r="E220" s="30" t="str">
        <f>IF(PRENDAS!$B185="","",PRENDAS!$F185)</f>
        <v/>
      </c>
      <c r="F220" s="21" t="str">
        <f>IF(PRENDAS!$B185="","",PRENDAS!$G185)</f>
        <v/>
      </c>
      <c r="G220" s="21" t="str">
        <f>IF(PRENDAS!$B185="","",PRENDAS!$H185)</f>
        <v/>
      </c>
      <c r="H220" s="21" t="str">
        <f>IF(PRENDAS!$B185="","",PRENDAS!$I185)</f>
        <v/>
      </c>
      <c r="I220" s="21" t="str">
        <f>IF(PRENDAS!$B185="","",PRENDAS!$J185)</f>
        <v/>
      </c>
      <c r="J220" s="21" t="str">
        <f>IF(PRENDAS!$B185="","",PRENDAS!$P185)</f>
        <v/>
      </c>
    </row>
    <row r="221" ht="15.0" customHeight="1">
      <c r="A221" s="30" t="str">
        <f>IF(PRENDAS!$B186="","",PRENDAS!$A186)</f>
        <v/>
      </c>
      <c r="B221" s="21" t="str">
        <f>IF(PRENDAS!$B186="","",PRENDAS!$B186)</f>
        <v/>
      </c>
      <c r="C221" s="21" t="str">
        <f>IF(PRENDAS!$B186="","",PRENDAS!$D186)</f>
        <v/>
      </c>
      <c r="D221" s="30" t="str">
        <f>IF(PRENDAS!$B186="","",PRENDAS!$E186)</f>
        <v/>
      </c>
      <c r="E221" s="30" t="str">
        <f>IF(PRENDAS!$B186="","",PRENDAS!$F186)</f>
        <v/>
      </c>
      <c r="F221" s="21" t="str">
        <f>IF(PRENDAS!$B186="","",PRENDAS!$G186)</f>
        <v/>
      </c>
      <c r="G221" s="21" t="str">
        <f>IF(PRENDAS!$B186="","",PRENDAS!$H186)</f>
        <v/>
      </c>
      <c r="H221" s="21" t="str">
        <f>IF(PRENDAS!$B186="","",PRENDAS!$I186)</f>
        <v/>
      </c>
      <c r="I221" s="21" t="str">
        <f>IF(PRENDAS!$B186="","",PRENDAS!$J186)</f>
        <v/>
      </c>
      <c r="J221" s="21" t="str">
        <f>IF(PRENDAS!$B186="","",PRENDAS!$P186)</f>
        <v/>
      </c>
    </row>
    <row r="222" ht="15.0" customHeight="1">
      <c r="A222" s="30" t="str">
        <f>IF(PRENDAS!$B187="","",PRENDAS!$A187)</f>
        <v/>
      </c>
      <c r="B222" s="21" t="str">
        <f>IF(PRENDAS!$B187="","",PRENDAS!$B187)</f>
        <v/>
      </c>
      <c r="C222" s="21" t="str">
        <f>IF(PRENDAS!$B187="","",PRENDAS!$D187)</f>
        <v/>
      </c>
      <c r="D222" s="30" t="str">
        <f>IF(PRENDAS!$B187="","",PRENDAS!$E187)</f>
        <v/>
      </c>
      <c r="E222" s="30" t="str">
        <f>IF(PRENDAS!$B187="","",PRENDAS!$F187)</f>
        <v/>
      </c>
      <c r="F222" s="21" t="str">
        <f>IF(PRENDAS!$B187="","",PRENDAS!$G187)</f>
        <v/>
      </c>
      <c r="G222" s="21" t="str">
        <f>IF(PRENDAS!$B187="","",PRENDAS!$H187)</f>
        <v/>
      </c>
      <c r="H222" s="21" t="str">
        <f>IF(PRENDAS!$B187="","",PRENDAS!$I187)</f>
        <v/>
      </c>
      <c r="I222" s="21" t="str">
        <f>IF(PRENDAS!$B187="","",PRENDAS!$J187)</f>
        <v/>
      </c>
      <c r="J222" s="21" t="str">
        <f>IF(PRENDAS!$B187="","",PRENDAS!$P187)</f>
        <v/>
      </c>
    </row>
    <row r="223" ht="15.0" customHeight="1">
      <c r="A223" s="30" t="str">
        <f>IF(PRENDAS!$B188="","",PRENDAS!$A188)</f>
        <v/>
      </c>
      <c r="B223" s="21" t="str">
        <f>IF(PRENDAS!$B188="","",PRENDAS!$B188)</f>
        <v/>
      </c>
      <c r="C223" s="21" t="str">
        <f>IF(PRENDAS!$B188="","",PRENDAS!$D188)</f>
        <v/>
      </c>
      <c r="D223" s="30" t="str">
        <f>IF(PRENDAS!$B188="","",PRENDAS!$E188)</f>
        <v/>
      </c>
      <c r="E223" s="30" t="str">
        <f>IF(PRENDAS!$B188="","",PRENDAS!$F188)</f>
        <v/>
      </c>
      <c r="F223" s="21" t="str">
        <f>IF(PRENDAS!$B188="","",PRENDAS!$G188)</f>
        <v/>
      </c>
      <c r="G223" s="21" t="str">
        <f>IF(PRENDAS!$B188="","",PRENDAS!$H188)</f>
        <v/>
      </c>
      <c r="H223" s="21" t="str">
        <f>IF(PRENDAS!$B188="","",PRENDAS!$I188)</f>
        <v/>
      </c>
      <c r="I223" s="21" t="str">
        <f>IF(PRENDAS!$B188="","",PRENDAS!$J188)</f>
        <v/>
      </c>
      <c r="J223" s="21" t="str">
        <f>IF(PRENDAS!$B188="","",PRENDAS!$P188)</f>
        <v/>
      </c>
    </row>
    <row r="224" ht="15.0" customHeight="1">
      <c r="A224" s="30" t="str">
        <f>IF(PRENDAS!$B189="","",PRENDAS!$A189)</f>
        <v/>
      </c>
      <c r="B224" s="21" t="str">
        <f>IF(PRENDAS!$B189="","",PRENDAS!$B189)</f>
        <v/>
      </c>
      <c r="C224" s="21" t="str">
        <f>IF(PRENDAS!$B189="","",PRENDAS!$D189)</f>
        <v/>
      </c>
      <c r="D224" s="30" t="str">
        <f>IF(PRENDAS!$B189="","",PRENDAS!$E189)</f>
        <v/>
      </c>
      <c r="E224" s="30" t="str">
        <f>IF(PRENDAS!$B189="","",PRENDAS!$F189)</f>
        <v/>
      </c>
      <c r="F224" s="21" t="str">
        <f>IF(PRENDAS!$B189="","",PRENDAS!$G189)</f>
        <v/>
      </c>
      <c r="G224" s="21" t="str">
        <f>IF(PRENDAS!$B189="","",PRENDAS!$H189)</f>
        <v/>
      </c>
      <c r="H224" s="21" t="str">
        <f>IF(PRENDAS!$B189="","",PRENDAS!$I189)</f>
        <v/>
      </c>
      <c r="I224" s="21" t="str">
        <f>IF(PRENDAS!$B189="","",PRENDAS!$J189)</f>
        <v/>
      </c>
      <c r="J224" s="21" t="str">
        <f>IF(PRENDAS!$B189="","",PRENDAS!$P189)</f>
        <v/>
      </c>
    </row>
    <row r="225" ht="15.0" customHeight="1">
      <c r="A225" s="30" t="str">
        <f>IF(PRENDAS!$B190="","",PRENDAS!$A190)</f>
        <v/>
      </c>
      <c r="B225" s="21" t="str">
        <f>IF(PRENDAS!$B190="","",PRENDAS!$B190)</f>
        <v/>
      </c>
      <c r="C225" s="21" t="str">
        <f>IF(PRENDAS!$B190="","",PRENDAS!$D190)</f>
        <v/>
      </c>
      <c r="D225" s="30" t="str">
        <f>IF(PRENDAS!$B190="","",PRENDAS!$E190)</f>
        <v/>
      </c>
      <c r="E225" s="30" t="str">
        <f>IF(PRENDAS!$B190="","",PRENDAS!$F190)</f>
        <v/>
      </c>
      <c r="F225" s="21" t="str">
        <f>IF(PRENDAS!$B190="","",PRENDAS!$G190)</f>
        <v/>
      </c>
      <c r="G225" s="21" t="str">
        <f>IF(PRENDAS!$B190="","",PRENDAS!$H190)</f>
        <v/>
      </c>
      <c r="H225" s="21" t="str">
        <f>IF(PRENDAS!$B190="","",PRENDAS!$I190)</f>
        <v/>
      </c>
      <c r="I225" s="21" t="str">
        <f>IF(PRENDAS!$B190="","",PRENDAS!$J190)</f>
        <v/>
      </c>
      <c r="J225" s="21" t="str">
        <f>IF(PRENDAS!$B190="","",PRENDAS!$P190)</f>
        <v/>
      </c>
    </row>
    <row r="226" ht="15.0" customHeight="1">
      <c r="A226" s="30" t="str">
        <f>IF(PRENDAS!$B191="","",PRENDAS!$A191)</f>
        <v/>
      </c>
      <c r="B226" s="21" t="str">
        <f>IF(PRENDAS!$B191="","",PRENDAS!$B191)</f>
        <v/>
      </c>
      <c r="C226" s="21" t="str">
        <f>IF(PRENDAS!$B191="","",PRENDAS!$D191)</f>
        <v/>
      </c>
      <c r="D226" s="30" t="str">
        <f>IF(PRENDAS!$B191="","",PRENDAS!$E191)</f>
        <v/>
      </c>
      <c r="E226" s="30" t="str">
        <f>IF(PRENDAS!$B191="","",PRENDAS!$F191)</f>
        <v/>
      </c>
      <c r="F226" s="21" t="str">
        <f>IF(PRENDAS!$B191="","",PRENDAS!$G191)</f>
        <v/>
      </c>
      <c r="G226" s="21" t="str">
        <f>IF(PRENDAS!$B191="","",PRENDAS!$H191)</f>
        <v/>
      </c>
      <c r="H226" s="21" t="str">
        <f>IF(PRENDAS!$B191="","",PRENDAS!$I191)</f>
        <v/>
      </c>
      <c r="I226" s="21" t="str">
        <f>IF(PRENDAS!$B191="","",PRENDAS!$J191)</f>
        <v/>
      </c>
      <c r="J226" s="21" t="str">
        <f>IF(PRENDAS!$B191="","",PRENDAS!$P191)</f>
        <v/>
      </c>
    </row>
    <row r="227" ht="15.0" customHeight="1">
      <c r="A227" s="30" t="str">
        <f>IF(PRENDAS!$B192="","",PRENDAS!$A192)</f>
        <v/>
      </c>
      <c r="B227" s="21" t="str">
        <f>IF(PRENDAS!$B192="","",PRENDAS!$B192)</f>
        <v/>
      </c>
      <c r="C227" s="21" t="str">
        <f>IF(PRENDAS!$B192="","",PRENDAS!$D192)</f>
        <v/>
      </c>
      <c r="D227" s="30" t="str">
        <f>IF(PRENDAS!$B192="","",PRENDAS!$E192)</f>
        <v/>
      </c>
      <c r="E227" s="30" t="str">
        <f>IF(PRENDAS!$B192="","",PRENDAS!$F192)</f>
        <v/>
      </c>
      <c r="F227" s="21" t="str">
        <f>IF(PRENDAS!$B192="","",PRENDAS!$G192)</f>
        <v/>
      </c>
      <c r="G227" s="21" t="str">
        <f>IF(PRENDAS!$B192="","",PRENDAS!$H192)</f>
        <v/>
      </c>
      <c r="H227" s="21" t="str">
        <f>IF(PRENDAS!$B192="","",PRENDAS!$I192)</f>
        <v/>
      </c>
      <c r="I227" s="21" t="str">
        <f>IF(PRENDAS!$B192="","",PRENDAS!$J192)</f>
        <v/>
      </c>
      <c r="J227" s="21" t="str">
        <f>IF(PRENDAS!$B192="","",PRENDAS!$P192)</f>
        <v/>
      </c>
    </row>
    <row r="228" ht="15.0" customHeight="1">
      <c r="A228" s="30" t="str">
        <f>IF(PRENDAS!$B193="","",PRENDAS!$A193)</f>
        <v/>
      </c>
      <c r="B228" s="21" t="str">
        <f>IF(PRENDAS!$B193="","",PRENDAS!$B193)</f>
        <v/>
      </c>
      <c r="C228" s="21" t="str">
        <f>IF(PRENDAS!$B193="","",PRENDAS!$D193)</f>
        <v/>
      </c>
      <c r="D228" s="30" t="str">
        <f>IF(PRENDAS!$B193="","",PRENDAS!$E193)</f>
        <v/>
      </c>
      <c r="E228" s="30" t="str">
        <f>IF(PRENDAS!$B193="","",PRENDAS!$F193)</f>
        <v/>
      </c>
      <c r="F228" s="21" t="str">
        <f>IF(PRENDAS!$B193="","",PRENDAS!$G193)</f>
        <v/>
      </c>
      <c r="G228" s="21" t="str">
        <f>IF(PRENDAS!$B193="","",PRENDAS!$H193)</f>
        <v/>
      </c>
      <c r="H228" s="21" t="str">
        <f>IF(PRENDAS!$B193="","",PRENDAS!$I193)</f>
        <v/>
      </c>
      <c r="I228" s="21" t="str">
        <f>IF(PRENDAS!$B193="","",PRENDAS!$J193)</f>
        <v/>
      </c>
      <c r="J228" s="21" t="str">
        <f>IF(PRENDAS!$B193="","",PRENDAS!$P193)</f>
        <v/>
      </c>
    </row>
    <row r="229" ht="15.0" customHeight="1">
      <c r="A229" s="30" t="str">
        <f>IF(PRENDAS!$B194="","",PRENDAS!$A194)</f>
        <v/>
      </c>
      <c r="B229" s="21" t="str">
        <f>IF(PRENDAS!$B194="","",PRENDAS!$B194)</f>
        <v/>
      </c>
      <c r="C229" s="21" t="str">
        <f>IF(PRENDAS!$B194="","",PRENDAS!$D194)</f>
        <v/>
      </c>
      <c r="D229" s="30" t="str">
        <f>IF(PRENDAS!$B194="","",PRENDAS!$E194)</f>
        <v/>
      </c>
      <c r="E229" s="30" t="str">
        <f>IF(PRENDAS!$B194="","",PRENDAS!$F194)</f>
        <v/>
      </c>
      <c r="F229" s="21" t="str">
        <f>IF(PRENDAS!$B194="","",PRENDAS!$G194)</f>
        <v/>
      </c>
      <c r="G229" s="21" t="str">
        <f>IF(PRENDAS!$B194="","",PRENDAS!$H194)</f>
        <v/>
      </c>
      <c r="H229" s="21" t="str">
        <f>IF(PRENDAS!$B194="","",PRENDAS!$I194)</f>
        <v/>
      </c>
      <c r="I229" s="21" t="str">
        <f>IF(PRENDAS!$B194="","",PRENDAS!$J194)</f>
        <v/>
      </c>
      <c r="J229" s="21" t="str">
        <f>IF(PRENDAS!$B194="","",PRENDAS!$P194)</f>
        <v/>
      </c>
    </row>
    <row r="230" ht="15.0" customHeight="1">
      <c r="A230" s="30" t="str">
        <f>IF(PRENDAS!$B195="","",PRENDAS!$A195)</f>
        <v/>
      </c>
      <c r="B230" s="21" t="str">
        <f>IF(PRENDAS!$B195="","",PRENDAS!$B195)</f>
        <v/>
      </c>
      <c r="C230" s="21" t="str">
        <f>IF(PRENDAS!$B195="","",PRENDAS!$D195)</f>
        <v/>
      </c>
      <c r="D230" s="30" t="str">
        <f>IF(PRENDAS!$B195="","",PRENDAS!$E195)</f>
        <v/>
      </c>
      <c r="E230" s="30" t="str">
        <f>IF(PRENDAS!$B195="","",PRENDAS!$F195)</f>
        <v/>
      </c>
      <c r="F230" s="21" t="str">
        <f>IF(PRENDAS!$B195="","",PRENDAS!$G195)</f>
        <v/>
      </c>
      <c r="G230" s="21" t="str">
        <f>IF(PRENDAS!$B195="","",PRENDAS!$H195)</f>
        <v/>
      </c>
      <c r="H230" s="21" t="str">
        <f>IF(PRENDAS!$B195="","",PRENDAS!$I195)</f>
        <v/>
      </c>
      <c r="I230" s="21" t="str">
        <f>IF(PRENDAS!$B195="","",PRENDAS!$J195)</f>
        <v/>
      </c>
      <c r="J230" s="21" t="str">
        <f>IF(PRENDAS!$B195="","",PRENDAS!$P195)</f>
        <v/>
      </c>
    </row>
    <row r="231" ht="15.0" customHeight="1">
      <c r="A231" s="30" t="str">
        <f>IF(PRENDAS!$B196="","",PRENDAS!$A196)</f>
        <v/>
      </c>
      <c r="B231" s="21" t="str">
        <f>IF(PRENDAS!$B196="","",PRENDAS!$B196)</f>
        <v/>
      </c>
      <c r="C231" s="21" t="str">
        <f>IF(PRENDAS!$B196="","",PRENDAS!$D196)</f>
        <v/>
      </c>
      <c r="D231" s="30" t="str">
        <f>IF(PRENDAS!$B196="","",PRENDAS!$E196)</f>
        <v/>
      </c>
      <c r="E231" s="30" t="str">
        <f>IF(PRENDAS!$B196="","",PRENDAS!$F196)</f>
        <v/>
      </c>
      <c r="F231" s="21" t="str">
        <f>IF(PRENDAS!$B196="","",PRENDAS!$G196)</f>
        <v/>
      </c>
      <c r="G231" s="21" t="str">
        <f>IF(PRENDAS!$B196="","",PRENDAS!$H196)</f>
        <v/>
      </c>
      <c r="H231" s="21" t="str">
        <f>IF(PRENDAS!$B196="","",PRENDAS!$I196)</f>
        <v/>
      </c>
      <c r="I231" s="21" t="str">
        <f>IF(PRENDAS!$B196="","",PRENDAS!$J196)</f>
        <v/>
      </c>
      <c r="J231" s="21" t="str">
        <f>IF(PRENDAS!$B196="","",PRENDAS!$P196)</f>
        <v/>
      </c>
    </row>
    <row r="232" ht="15.0" customHeight="1">
      <c r="A232" s="30" t="str">
        <f>IF(PRENDAS!$B197="","",PRENDAS!$A197)</f>
        <v/>
      </c>
      <c r="B232" s="21" t="str">
        <f>IF(PRENDAS!$B197="","",PRENDAS!$B197)</f>
        <v/>
      </c>
      <c r="C232" s="21" t="str">
        <f>IF(PRENDAS!$B197="","",PRENDAS!$D197)</f>
        <v/>
      </c>
      <c r="D232" s="30" t="str">
        <f>IF(PRENDAS!$B197="","",PRENDAS!$E197)</f>
        <v/>
      </c>
      <c r="E232" s="30" t="str">
        <f>IF(PRENDAS!$B197="","",PRENDAS!$F197)</f>
        <v/>
      </c>
      <c r="F232" s="21" t="str">
        <f>IF(PRENDAS!$B197="","",PRENDAS!$G197)</f>
        <v/>
      </c>
      <c r="G232" s="21" t="str">
        <f>IF(PRENDAS!$B197="","",PRENDAS!$H197)</f>
        <v/>
      </c>
      <c r="H232" s="21" t="str">
        <f>IF(PRENDAS!$B197="","",PRENDAS!$I197)</f>
        <v/>
      </c>
      <c r="I232" s="21" t="str">
        <f>IF(PRENDAS!$B197="","",PRENDAS!$J197)</f>
        <v/>
      </c>
      <c r="J232" s="21" t="str">
        <f>IF(PRENDAS!$B197="","",PRENDAS!$P197)</f>
        <v/>
      </c>
    </row>
    <row r="233" ht="15.0" customHeight="1">
      <c r="A233" s="30" t="str">
        <f>IF(PRENDAS!$B198="","",PRENDAS!$A198)</f>
        <v/>
      </c>
      <c r="B233" s="21" t="str">
        <f>IF(PRENDAS!$B198="","",PRENDAS!$B198)</f>
        <v/>
      </c>
      <c r="C233" s="21" t="str">
        <f>IF(PRENDAS!$B198="","",PRENDAS!$D198)</f>
        <v/>
      </c>
      <c r="D233" s="30" t="str">
        <f>IF(PRENDAS!$B198="","",PRENDAS!$E198)</f>
        <v/>
      </c>
      <c r="E233" s="30" t="str">
        <f>IF(PRENDAS!$B198="","",PRENDAS!$F198)</f>
        <v/>
      </c>
      <c r="F233" s="21" t="str">
        <f>IF(PRENDAS!$B198="","",PRENDAS!$G198)</f>
        <v/>
      </c>
      <c r="G233" s="21" t="str">
        <f>IF(PRENDAS!$B198="","",PRENDAS!$H198)</f>
        <v/>
      </c>
      <c r="H233" s="21" t="str">
        <f>IF(PRENDAS!$B198="","",PRENDAS!$I198)</f>
        <v/>
      </c>
      <c r="I233" s="21" t="str">
        <f>IF(PRENDAS!$B198="","",PRENDAS!$J198)</f>
        <v/>
      </c>
      <c r="J233" s="21" t="str">
        <f>IF(PRENDAS!$B198="","",PRENDAS!$P198)</f>
        <v/>
      </c>
    </row>
    <row r="234" ht="15.0" customHeight="1">
      <c r="A234" s="30" t="str">
        <f>IF(PRENDAS!$B199="","",PRENDAS!$A199)</f>
        <v/>
      </c>
      <c r="B234" s="21" t="str">
        <f>IF(PRENDAS!$B199="","",PRENDAS!$B199)</f>
        <v/>
      </c>
      <c r="C234" s="21" t="str">
        <f>IF(PRENDAS!$B199="","",PRENDAS!$D199)</f>
        <v/>
      </c>
      <c r="D234" s="30" t="str">
        <f>IF(PRENDAS!$B199="","",PRENDAS!$E199)</f>
        <v/>
      </c>
      <c r="E234" s="30" t="str">
        <f>IF(PRENDAS!$B199="","",PRENDAS!$F199)</f>
        <v/>
      </c>
      <c r="F234" s="21" t="str">
        <f>IF(PRENDAS!$B199="","",PRENDAS!$G199)</f>
        <v/>
      </c>
      <c r="G234" s="21" t="str">
        <f>IF(PRENDAS!$B199="","",PRENDAS!$H199)</f>
        <v/>
      </c>
      <c r="H234" s="21" t="str">
        <f>IF(PRENDAS!$B199="","",PRENDAS!$I199)</f>
        <v/>
      </c>
      <c r="I234" s="21" t="str">
        <f>IF(PRENDAS!$B199="","",PRENDAS!$J199)</f>
        <v/>
      </c>
      <c r="J234" s="21" t="str">
        <f>IF(PRENDAS!$B199="","",PRENDAS!$P199)</f>
        <v/>
      </c>
    </row>
    <row r="235" ht="15.0" customHeight="1">
      <c r="A235" s="30" t="str">
        <f>IF(PRENDAS!$B200="","",PRENDAS!$A200)</f>
        <v/>
      </c>
      <c r="B235" s="21" t="str">
        <f>IF(PRENDAS!$B200="","",PRENDAS!$B200)</f>
        <v/>
      </c>
      <c r="C235" s="21" t="str">
        <f>IF(PRENDAS!$B200="","",PRENDAS!$D200)</f>
        <v/>
      </c>
      <c r="D235" s="30" t="str">
        <f>IF(PRENDAS!$B200="","",PRENDAS!$E200)</f>
        <v/>
      </c>
      <c r="E235" s="30" t="str">
        <f>IF(PRENDAS!$B200="","",PRENDAS!$F200)</f>
        <v/>
      </c>
      <c r="F235" s="21" t="str">
        <f>IF(PRENDAS!$B200="","",PRENDAS!$G200)</f>
        <v/>
      </c>
      <c r="G235" s="21" t="str">
        <f>IF(PRENDAS!$B200="","",PRENDAS!$H200)</f>
        <v/>
      </c>
      <c r="H235" s="21" t="str">
        <f>IF(PRENDAS!$B200="","",PRENDAS!$I200)</f>
        <v/>
      </c>
      <c r="I235" s="21" t="str">
        <f>IF(PRENDAS!$B200="","",PRENDAS!$J200)</f>
        <v/>
      </c>
      <c r="J235" s="21" t="str">
        <f>IF(PRENDAS!$B200="","",PRENDAS!$P200)</f>
        <v/>
      </c>
    </row>
    <row r="236" ht="15.0" customHeight="1">
      <c r="A236" s="30" t="str">
        <f>IF(PRENDAS!$B201="","",PRENDAS!$A201)</f>
        <v/>
      </c>
      <c r="B236" s="21" t="str">
        <f>IF(PRENDAS!$B201="","",PRENDAS!$B201)</f>
        <v/>
      </c>
      <c r="C236" s="21" t="str">
        <f>IF(PRENDAS!$B201="","",PRENDAS!$D201)</f>
        <v/>
      </c>
      <c r="D236" s="30" t="str">
        <f>IF(PRENDAS!$B201="","",PRENDAS!$E201)</f>
        <v/>
      </c>
      <c r="E236" s="30" t="str">
        <f>IF(PRENDAS!$B201="","",PRENDAS!$F201)</f>
        <v/>
      </c>
      <c r="F236" s="21" t="str">
        <f>IF(PRENDAS!$B201="","",PRENDAS!$G201)</f>
        <v/>
      </c>
      <c r="G236" s="21" t="str">
        <f>IF(PRENDAS!$B201="","",PRENDAS!$H201)</f>
        <v/>
      </c>
      <c r="H236" s="21" t="str">
        <f>IF(PRENDAS!$B201="","",PRENDAS!$I201)</f>
        <v/>
      </c>
      <c r="I236" s="21" t="str">
        <f>IF(PRENDAS!$B201="","",PRENDAS!$J201)</f>
        <v/>
      </c>
      <c r="J236" s="21" t="str">
        <f>IF(PRENDAS!$B201="","",PRENDAS!$P201)</f>
        <v/>
      </c>
    </row>
    <row r="237" ht="15.0" customHeight="1">
      <c r="A237" s="30" t="str">
        <f>IF(PRENDAS!$B202="","",PRENDAS!$A202)</f>
        <v/>
      </c>
      <c r="B237" s="21" t="str">
        <f>IF(PRENDAS!$B202="","",PRENDAS!$B202)</f>
        <v/>
      </c>
      <c r="C237" s="21" t="str">
        <f>IF(PRENDAS!$B202="","",PRENDAS!$D202)</f>
        <v/>
      </c>
      <c r="D237" s="30" t="str">
        <f>IF(PRENDAS!$B202="","",PRENDAS!$E202)</f>
        <v/>
      </c>
      <c r="E237" s="30" t="str">
        <f>IF(PRENDAS!$B202="","",PRENDAS!$F202)</f>
        <v/>
      </c>
      <c r="F237" s="21" t="str">
        <f>IF(PRENDAS!$B202="","",PRENDAS!$G202)</f>
        <v/>
      </c>
      <c r="G237" s="21" t="str">
        <f>IF(PRENDAS!$B202="","",PRENDAS!$H202)</f>
        <v/>
      </c>
      <c r="H237" s="21" t="str">
        <f>IF(PRENDAS!$B202="","",PRENDAS!$I202)</f>
        <v/>
      </c>
      <c r="I237" s="21" t="str">
        <f>IF(PRENDAS!$B202="","",PRENDAS!$J202)</f>
        <v/>
      </c>
      <c r="J237" s="21" t="str">
        <f>IF(PRENDAS!$B202="","",PRENDAS!$P202)</f>
        <v/>
      </c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</row>
  </sheetData>
  <mergeCells count="16">
    <mergeCell ref="A1:J1"/>
    <mergeCell ref="A4:J4"/>
    <mergeCell ref="A12:J12"/>
    <mergeCell ref="A20:J20"/>
    <mergeCell ref="D21:J21"/>
    <mergeCell ref="D22:J22"/>
    <mergeCell ref="D23:J23"/>
    <mergeCell ref="A32:J32"/>
    <mergeCell ref="A36:J36"/>
    <mergeCell ref="D24:J24"/>
    <mergeCell ref="D25:J25"/>
    <mergeCell ref="D26:J26"/>
    <mergeCell ref="D27:J27"/>
    <mergeCell ref="D28:J28"/>
    <mergeCell ref="D29:J29"/>
    <mergeCell ref="D30:J30"/>
  </mergeCells>
  <printOptions/>
  <pageMargins bottom="1.0" footer="0.0" header="0.0" left="0.75" right="0.75" top="1.0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4" width="12.0"/>
    <col customWidth="1" min="5" max="5" width="26.0"/>
    <col customWidth="1" min="6" max="8" width="15.0"/>
    <col customWidth="1" min="9" max="9" width="44.0"/>
    <col customWidth="1" min="10" max="26" width="8.71"/>
  </cols>
  <sheetData>
    <row r="1" ht="25.5" customHeight="1">
      <c r="A1" s="1" t="s">
        <v>384</v>
      </c>
      <c r="B1" s="2"/>
      <c r="C1" s="2"/>
      <c r="D1" s="2"/>
      <c r="E1" s="2"/>
      <c r="F1" s="2"/>
      <c r="G1" s="2"/>
      <c r="H1" s="2"/>
      <c r="I1" s="3"/>
    </row>
    <row r="2" ht="15.0" customHeight="1">
      <c r="A2" s="6" t="str">
        <f>CONCATENATE("Pedido ",PEDIDO!$B$5,"  ·  ",PEDIDO!$B$7)</f>
        <v>Pedido SUB-000842  ·  PROMO 2002</v>
      </c>
      <c r="B2" s="4"/>
      <c r="C2" s="4"/>
      <c r="D2" s="4"/>
      <c r="E2" s="4"/>
      <c r="F2" s="4"/>
      <c r="G2" s="4"/>
      <c r="H2" s="4"/>
      <c r="I2" s="4"/>
    </row>
    <row r="3" ht="15.0" customHeight="1">
      <c r="A3" s="5" t="s">
        <v>385</v>
      </c>
      <c r="B3" s="4"/>
      <c r="C3" s="4"/>
      <c r="D3" s="4"/>
      <c r="E3" s="4"/>
      <c r="F3" s="4"/>
      <c r="G3" s="4"/>
      <c r="H3" s="4"/>
      <c r="I3" s="4"/>
    </row>
    <row r="4">
      <c r="A4" s="4"/>
      <c r="B4" s="4"/>
      <c r="C4" s="4"/>
      <c r="D4" s="4"/>
      <c r="E4" s="4"/>
      <c r="F4" s="4"/>
      <c r="G4" s="4"/>
      <c r="H4" s="4"/>
      <c r="I4" s="4"/>
    </row>
    <row r="5" ht="27.75" customHeight="1">
      <c r="A5" s="8" t="s">
        <v>36</v>
      </c>
      <c r="B5" s="8" t="s">
        <v>386</v>
      </c>
      <c r="C5" s="8" t="s">
        <v>387</v>
      </c>
      <c r="D5" s="8" t="s">
        <v>388</v>
      </c>
      <c r="E5" s="8" t="s">
        <v>389</v>
      </c>
      <c r="F5" s="8" t="s">
        <v>390</v>
      </c>
      <c r="G5" s="8" t="s">
        <v>391</v>
      </c>
      <c r="H5" s="8" t="s">
        <v>392</v>
      </c>
      <c r="I5" s="8" t="s">
        <v>393</v>
      </c>
    </row>
    <row r="6" ht="15.0" customHeight="1">
      <c r="A6" s="19"/>
      <c r="B6" s="19"/>
      <c r="C6" s="19"/>
      <c r="D6" s="19"/>
      <c r="E6" s="19"/>
      <c r="F6" s="51" t="str">
        <f t="shared" ref="F6:F25" si="1">IF($D6="","",$D6/100)</f>
        <v/>
      </c>
      <c r="G6" s="21" t="str">
        <f>IF($D6="","",ROUND($F6*CATALOGOS!$B$80,2))</f>
        <v/>
      </c>
      <c r="H6" s="52" t="str">
        <f>IF($D6="","",ROUND($F6*CATALOGOS!$B$79,2))</f>
        <v/>
      </c>
      <c r="I6" s="21" t="str">
        <f>IF($D6="","",CONCATENATE("SUBLITEX_",IF($E6="",PEDIDO!$B$7,$E6),"_",UPPER($A6),"_180x",$D6,"_parte",$B6,".tif"))</f>
        <v/>
      </c>
    </row>
    <row r="7" ht="15.0" customHeight="1">
      <c r="A7" s="19"/>
      <c r="B7" s="19"/>
      <c r="C7" s="19"/>
      <c r="D7" s="19"/>
      <c r="E7" s="19"/>
      <c r="F7" s="51" t="str">
        <f t="shared" si="1"/>
        <v/>
      </c>
      <c r="G7" s="21" t="str">
        <f>IF($D7="","",ROUND($F7*CATALOGOS!$B$80,2))</f>
        <v/>
      </c>
      <c r="H7" s="52" t="str">
        <f>IF($D7="","",ROUND($F7*CATALOGOS!$B$79,2))</f>
        <v/>
      </c>
      <c r="I7" s="21" t="str">
        <f>IF($D7="","",CONCATENATE("SUBLITEX_",IF($E7="",PEDIDO!$B$7,$E7),"_",UPPER($A7),"_180x",$D7,"_parte",$B7,".tif"))</f>
        <v/>
      </c>
    </row>
    <row r="8" ht="15.0" customHeight="1">
      <c r="A8" s="19"/>
      <c r="B8" s="19"/>
      <c r="C8" s="19"/>
      <c r="D8" s="19"/>
      <c r="E8" s="19"/>
      <c r="F8" s="51" t="str">
        <f t="shared" si="1"/>
        <v/>
      </c>
      <c r="G8" s="21" t="str">
        <f>IF($D8="","",ROUND($F8*CATALOGOS!$B$80,2))</f>
        <v/>
      </c>
      <c r="H8" s="52" t="str">
        <f>IF($D8="","",ROUND($F8*CATALOGOS!$B$79,2))</f>
        <v/>
      </c>
      <c r="I8" s="21" t="str">
        <f>IF($D8="","",CONCATENATE("SUBLITEX_",IF($E8="",PEDIDO!$B$7,$E8),"_",UPPER($A8),"_180x",$D8,"_parte",$B8,".tif"))</f>
        <v/>
      </c>
    </row>
    <row r="9" ht="15.0" customHeight="1">
      <c r="A9" s="19"/>
      <c r="B9" s="19"/>
      <c r="C9" s="19"/>
      <c r="D9" s="19"/>
      <c r="E9" s="19"/>
      <c r="F9" s="51" t="str">
        <f t="shared" si="1"/>
        <v/>
      </c>
      <c r="G9" s="21" t="str">
        <f>IF($D9="","",ROUND($F9*CATALOGOS!$B$80,2))</f>
        <v/>
      </c>
      <c r="H9" s="52" t="str">
        <f>IF($D9="","",ROUND($F9*CATALOGOS!$B$79,2))</f>
        <v/>
      </c>
      <c r="I9" s="21" t="str">
        <f>IF($D9="","",CONCATENATE("SUBLITEX_",IF($E9="",PEDIDO!$B$7,$E9),"_",UPPER($A9),"_180x",$D9,"_parte",$B9,".tif"))</f>
        <v/>
      </c>
    </row>
    <row r="10" ht="15.0" customHeight="1">
      <c r="A10" s="19"/>
      <c r="B10" s="19"/>
      <c r="C10" s="19"/>
      <c r="D10" s="19"/>
      <c r="E10" s="19"/>
      <c r="F10" s="51" t="str">
        <f t="shared" si="1"/>
        <v/>
      </c>
      <c r="G10" s="21" t="str">
        <f>IF($D10="","",ROUND($F10*CATALOGOS!$B$80,2))</f>
        <v/>
      </c>
      <c r="H10" s="52" t="str">
        <f>IF($D10="","",ROUND($F10*CATALOGOS!$B$79,2))</f>
        <v/>
      </c>
      <c r="I10" s="21" t="str">
        <f>IF($D10="","",CONCATENATE("SUBLITEX_",IF($E10="",PEDIDO!$B$7,$E10),"_",UPPER($A10),"_180x",$D10,"_parte",$B10,".tif"))</f>
        <v/>
      </c>
    </row>
    <row r="11" ht="15.0" customHeight="1">
      <c r="A11" s="19"/>
      <c r="B11" s="19"/>
      <c r="C11" s="19"/>
      <c r="D11" s="19"/>
      <c r="E11" s="19"/>
      <c r="F11" s="51" t="str">
        <f t="shared" si="1"/>
        <v/>
      </c>
      <c r="G11" s="21" t="str">
        <f>IF($D11="","",ROUND($F11*CATALOGOS!$B$80,2))</f>
        <v/>
      </c>
      <c r="H11" s="52" t="str">
        <f>IF($D11="","",ROUND($F11*CATALOGOS!$B$79,2))</f>
        <v/>
      </c>
      <c r="I11" s="21" t="str">
        <f>IF($D11="","",CONCATENATE("SUBLITEX_",IF($E11="",PEDIDO!$B$7,$E11),"_",UPPER($A11),"_180x",$D11,"_parte",$B11,".tif"))</f>
        <v/>
      </c>
    </row>
    <row r="12" ht="15.0" customHeight="1">
      <c r="A12" s="19"/>
      <c r="B12" s="19"/>
      <c r="C12" s="19"/>
      <c r="D12" s="19"/>
      <c r="E12" s="19"/>
      <c r="F12" s="51" t="str">
        <f t="shared" si="1"/>
        <v/>
      </c>
      <c r="G12" s="21" t="str">
        <f>IF($D12="","",ROUND($F12*CATALOGOS!$B$80,2))</f>
        <v/>
      </c>
      <c r="H12" s="52" t="str">
        <f>IF($D12="","",ROUND($F12*CATALOGOS!$B$79,2))</f>
        <v/>
      </c>
      <c r="I12" s="21" t="str">
        <f>IF($D12="","",CONCATENATE("SUBLITEX_",IF($E12="",PEDIDO!$B$7,$E12),"_",UPPER($A12),"_180x",$D12,"_parte",$B12,".tif"))</f>
        <v/>
      </c>
    </row>
    <row r="13" ht="15.0" customHeight="1">
      <c r="A13" s="19"/>
      <c r="B13" s="19"/>
      <c r="C13" s="19"/>
      <c r="D13" s="19"/>
      <c r="E13" s="19"/>
      <c r="F13" s="51" t="str">
        <f t="shared" si="1"/>
        <v/>
      </c>
      <c r="G13" s="21" t="str">
        <f>IF($D13="","",ROUND($F13*CATALOGOS!$B$80,2))</f>
        <v/>
      </c>
      <c r="H13" s="52" t="str">
        <f>IF($D13="","",ROUND($F13*CATALOGOS!$B$79,2))</f>
        <v/>
      </c>
      <c r="I13" s="21" t="str">
        <f>IF($D13="","",CONCATENATE("SUBLITEX_",IF($E13="",PEDIDO!$B$7,$E13),"_",UPPER($A13),"_180x",$D13,"_parte",$B13,".tif"))</f>
        <v/>
      </c>
    </row>
    <row r="14" ht="15.0" customHeight="1">
      <c r="A14" s="19"/>
      <c r="B14" s="19"/>
      <c r="C14" s="19"/>
      <c r="D14" s="19"/>
      <c r="E14" s="19"/>
      <c r="F14" s="51" t="str">
        <f t="shared" si="1"/>
        <v/>
      </c>
      <c r="G14" s="21" t="str">
        <f>IF($D14="","",ROUND($F14*CATALOGOS!$B$80,2))</f>
        <v/>
      </c>
      <c r="H14" s="52" t="str">
        <f>IF($D14="","",ROUND($F14*CATALOGOS!$B$79,2))</f>
        <v/>
      </c>
      <c r="I14" s="21" t="str">
        <f>IF($D14="","",CONCATENATE("SUBLITEX_",IF($E14="",PEDIDO!$B$7,$E14),"_",UPPER($A14),"_180x",$D14,"_parte",$B14,".tif"))</f>
        <v/>
      </c>
    </row>
    <row r="15" ht="15.0" customHeight="1">
      <c r="A15" s="19"/>
      <c r="B15" s="19"/>
      <c r="C15" s="19"/>
      <c r="D15" s="19"/>
      <c r="E15" s="19"/>
      <c r="F15" s="51" t="str">
        <f t="shared" si="1"/>
        <v/>
      </c>
      <c r="G15" s="21" t="str">
        <f>IF($D15="","",ROUND($F15*CATALOGOS!$B$80,2))</f>
        <v/>
      </c>
      <c r="H15" s="52" t="str">
        <f>IF($D15="","",ROUND($F15*CATALOGOS!$B$79,2))</f>
        <v/>
      </c>
      <c r="I15" s="21" t="str">
        <f>IF($D15="","",CONCATENATE("SUBLITEX_",IF($E15="",PEDIDO!$B$7,$E15),"_",UPPER($A15),"_180x",$D15,"_parte",$B15,".tif"))</f>
        <v/>
      </c>
    </row>
    <row r="16" ht="15.0" customHeight="1">
      <c r="A16" s="19"/>
      <c r="B16" s="19"/>
      <c r="C16" s="19"/>
      <c r="D16" s="19"/>
      <c r="E16" s="19"/>
      <c r="F16" s="51" t="str">
        <f t="shared" si="1"/>
        <v/>
      </c>
      <c r="G16" s="21" t="str">
        <f>IF($D16="","",ROUND($F16*CATALOGOS!$B$80,2))</f>
        <v/>
      </c>
      <c r="H16" s="52" t="str">
        <f>IF($D16="","",ROUND($F16*CATALOGOS!$B$79,2))</f>
        <v/>
      </c>
      <c r="I16" s="21" t="str">
        <f>IF($D16="","",CONCATENATE("SUBLITEX_",IF($E16="",PEDIDO!$B$7,$E16),"_",UPPER($A16),"_180x",$D16,"_parte",$B16,".tif"))</f>
        <v/>
      </c>
    </row>
    <row r="17" ht="15.0" customHeight="1">
      <c r="A17" s="19"/>
      <c r="B17" s="19"/>
      <c r="C17" s="19"/>
      <c r="D17" s="19"/>
      <c r="E17" s="19"/>
      <c r="F17" s="51" t="str">
        <f t="shared" si="1"/>
        <v/>
      </c>
      <c r="G17" s="21" t="str">
        <f>IF($D17="","",ROUND($F17*CATALOGOS!$B$80,2))</f>
        <v/>
      </c>
      <c r="H17" s="52" t="str">
        <f>IF($D17="","",ROUND($F17*CATALOGOS!$B$79,2))</f>
        <v/>
      </c>
      <c r="I17" s="21" t="str">
        <f>IF($D17="","",CONCATENATE("SUBLITEX_",IF($E17="",PEDIDO!$B$7,$E17),"_",UPPER($A17),"_180x",$D17,"_parte",$B17,".tif"))</f>
        <v/>
      </c>
    </row>
    <row r="18" ht="15.0" customHeight="1">
      <c r="A18" s="19"/>
      <c r="B18" s="19"/>
      <c r="C18" s="19"/>
      <c r="D18" s="19"/>
      <c r="E18" s="19"/>
      <c r="F18" s="51" t="str">
        <f t="shared" si="1"/>
        <v/>
      </c>
      <c r="G18" s="21" t="str">
        <f>IF($D18="","",ROUND($F18*CATALOGOS!$B$80,2))</f>
        <v/>
      </c>
      <c r="H18" s="52" t="str">
        <f>IF($D18="","",ROUND($F18*CATALOGOS!$B$79,2))</f>
        <v/>
      </c>
      <c r="I18" s="21" t="str">
        <f>IF($D18="","",CONCATENATE("SUBLITEX_",IF($E18="",PEDIDO!$B$7,$E18),"_",UPPER($A18),"_180x",$D18,"_parte",$B18,".tif"))</f>
        <v/>
      </c>
    </row>
    <row r="19" ht="15.0" customHeight="1">
      <c r="A19" s="19"/>
      <c r="B19" s="19"/>
      <c r="C19" s="19"/>
      <c r="D19" s="19"/>
      <c r="E19" s="19"/>
      <c r="F19" s="51" t="str">
        <f t="shared" si="1"/>
        <v/>
      </c>
      <c r="G19" s="21" t="str">
        <f>IF($D19="","",ROUND($F19*CATALOGOS!$B$80,2))</f>
        <v/>
      </c>
      <c r="H19" s="52" t="str">
        <f>IF($D19="","",ROUND($F19*CATALOGOS!$B$79,2))</f>
        <v/>
      </c>
      <c r="I19" s="21" t="str">
        <f>IF($D19="","",CONCATENATE("SUBLITEX_",IF($E19="",PEDIDO!$B$7,$E19),"_",UPPER($A19),"_180x",$D19,"_parte",$B19,".tif"))</f>
        <v/>
      </c>
    </row>
    <row r="20" ht="15.0" customHeight="1">
      <c r="A20" s="19"/>
      <c r="B20" s="19"/>
      <c r="C20" s="19"/>
      <c r="D20" s="19"/>
      <c r="E20" s="19"/>
      <c r="F20" s="51" t="str">
        <f t="shared" si="1"/>
        <v/>
      </c>
      <c r="G20" s="21" t="str">
        <f>IF($D20="","",ROUND($F20*CATALOGOS!$B$80,2))</f>
        <v/>
      </c>
      <c r="H20" s="52" t="str">
        <f>IF($D20="","",ROUND($F20*CATALOGOS!$B$79,2))</f>
        <v/>
      </c>
      <c r="I20" s="21" t="str">
        <f>IF($D20="","",CONCATENATE("SUBLITEX_",IF($E20="",PEDIDO!$B$7,$E20),"_",UPPER($A20),"_180x",$D20,"_parte",$B20,".tif"))</f>
        <v/>
      </c>
    </row>
    <row r="21" ht="15.0" customHeight="1">
      <c r="A21" s="19"/>
      <c r="B21" s="19"/>
      <c r="C21" s="19"/>
      <c r="D21" s="19"/>
      <c r="E21" s="19"/>
      <c r="F21" s="51" t="str">
        <f t="shared" si="1"/>
        <v/>
      </c>
      <c r="G21" s="21" t="str">
        <f>IF($D21="","",ROUND($F21*CATALOGOS!$B$80,2))</f>
        <v/>
      </c>
      <c r="H21" s="52" t="str">
        <f>IF($D21="","",ROUND($F21*CATALOGOS!$B$79,2))</f>
        <v/>
      </c>
      <c r="I21" s="21" t="str">
        <f>IF($D21="","",CONCATENATE("SUBLITEX_",IF($E21="",PEDIDO!$B$7,$E21),"_",UPPER($A21),"_180x",$D21,"_parte",$B21,".tif"))</f>
        <v/>
      </c>
    </row>
    <row r="22" ht="15.0" customHeight="1">
      <c r="A22" s="19"/>
      <c r="B22" s="19"/>
      <c r="C22" s="19"/>
      <c r="D22" s="19"/>
      <c r="E22" s="19"/>
      <c r="F22" s="51" t="str">
        <f t="shared" si="1"/>
        <v/>
      </c>
      <c r="G22" s="21" t="str">
        <f>IF($D22="","",ROUND($F22*CATALOGOS!$B$80,2))</f>
        <v/>
      </c>
      <c r="H22" s="52" t="str">
        <f>IF($D22="","",ROUND($F22*CATALOGOS!$B$79,2))</f>
        <v/>
      </c>
      <c r="I22" s="21" t="str">
        <f>IF($D22="","",CONCATENATE("SUBLITEX_",IF($E22="",PEDIDO!$B$7,$E22),"_",UPPER($A22),"_180x",$D22,"_parte",$B22,".tif"))</f>
        <v/>
      </c>
    </row>
    <row r="23" ht="15.0" customHeight="1">
      <c r="A23" s="19"/>
      <c r="B23" s="19"/>
      <c r="C23" s="19"/>
      <c r="D23" s="19"/>
      <c r="E23" s="19"/>
      <c r="F23" s="51" t="str">
        <f t="shared" si="1"/>
        <v/>
      </c>
      <c r="G23" s="21" t="str">
        <f>IF($D23="","",ROUND($F23*CATALOGOS!$B$80,2))</f>
        <v/>
      </c>
      <c r="H23" s="52" t="str">
        <f>IF($D23="","",ROUND($F23*CATALOGOS!$B$79,2))</f>
        <v/>
      </c>
      <c r="I23" s="21" t="str">
        <f>IF($D23="","",CONCATENATE("SUBLITEX_",IF($E23="",PEDIDO!$B$7,$E23),"_",UPPER($A23),"_180x",$D23,"_parte",$B23,".tif"))</f>
        <v/>
      </c>
    </row>
    <row r="24" ht="15.0" customHeight="1">
      <c r="A24" s="19"/>
      <c r="B24" s="19"/>
      <c r="C24" s="19"/>
      <c r="D24" s="19"/>
      <c r="E24" s="19"/>
      <c r="F24" s="51" t="str">
        <f t="shared" si="1"/>
        <v/>
      </c>
      <c r="G24" s="21" t="str">
        <f>IF($D24="","",ROUND($F24*CATALOGOS!$B$80,2))</f>
        <v/>
      </c>
      <c r="H24" s="52" t="str">
        <f>IF($D24="","",ROUND($F24*CATALOGOS!$B$79,2))</f>
        <v/>
      </c>
      <c r="I24" s="21" t="str">
        <f>IF($D24="","",CONCATENATE("SUBLITEX_",IF($E24="",PEDIDO!$B$7,$E24),"_",UPPER($A24),"_180x",$D24,"_parte",$B24,".tif"))</f>
        <v/>
      </c>
    </row>
    <row r="25" ht="15.0" customHeight="1">
      <c r="A25" s="19"/>
      <c r="B25" s="19"/>
      <c r="C25" s="19"/>
      <c r="D25" s="19"/>
      <c r="E25" s="19"/>
      <c r="F25" s="51" t="str">
        <f t="shared" si="1"/>
        <v/>
      </c>
      <c r="G25" s="21" t="str">
        <f>IF($D25="","",ROUND($F25*CATALOGOS!$B$80,2))</f>
        <v/>
      </c>
      <c r="H25" s="52" t="str">
        <f>IF($D25="","",ROUND($F25*CATALOGOS!$B$79,2))</f>
        <v/>
      </c>
      <c r="I25" s="21" t="str">
        <f>IF($D25="","",CONCATENATE("SUBLITEX_",IF($E25="",PEDIDO!$B$7,$E25),"_",UPPER($A25),"_180x",$D25,"_parte",$B25,".tif"))</f>
        <v/>
      </c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</row>
    <row r="27" ht="15.0" customHeight="1">
      <c r="A27" s="4"/>
      <c r="B27" s="4"/>
      <c r="C27" s="4"/>
      <c r="D27" s="34" t="s">
        <v>394</v>
      </c>
      <c r="E27" s="4"/>
      <c r="F27" s="53">
        <f t="shared" ref="F27:H27" si="2">SUM(F6:F25)</f>
        <v>0</v>
      </c>
      <c r="G27" s="34">
        <f t="shared" si="2"/>
        <v>0</v>
      </c>
      <c r="H27" s="54">
        <f t="shared" si="2"/>
        <v>0</v>
      </c>
      <c r="I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</row>
    <row r="29" ht="19.5" customHeight="1">
      <c r="A29" s="9" t="s">
        <v>395</v>
      </c>
      <c r="B29" s="2"/>
      <c r="C29" s="2"/>
      <c r="D29" s="2"/>
      <c r="E29" s="2"/>
      <c r="F29" s="2"/>
      <c r="G29" s="2"/>
      <c r="H29" s="2"/>
      <c r="I29" s="3"/>
    </row>
    <row r="30" ht="15.0" customHeight="1">
      <c r="A30" s="6" t="s">
        <v>396</v>
      </c>
      <c r="B30" s="4"/>
      <c r="C30" s="4"/>
      <c r="D30" s="55">
        <f>SUMIFS($F$6:$F$25,$E$6:$E$25,PEDIDO!$B$7)+SUMIFS($F$6:$F$25,$E$6:$E$25,"")</f>
        <v>0</v>
      </c>
      <c r="E30" s="4"/>
      <c r="F30" s="4"/>
      <c r="G30" s="4"/>
      <c r="H30" s="4"/>
      <c r="I30" s="4"/>
    </row>
    <row r="31" ht="15.0" customHeight="1">
      <c r="A31" s="6" t="s">
        <v>397</v>
      </c>
      <c r="B31" s="4"/>
      <c r="C31" s="4"/>
      <c r="D31" s="39">
        <f>ROUND(D30*CATALOGOS!$B$80,2)</f>
        <v>0</v>
      </c>
      <c r="E31" s="4"/>
      <c r="F31" s="4"/>
      <c r="G31" s="4"/>
      <c r="H31" s="4"/>
      <c r="I31" s="4"/>
    </row>
    <row r="32" ht="15.0" customHeight="1">
      <c r="A32" s="6" t="s">
        <v>398</v>
      </c>
      <c r="B32" s="4"/>
      <c r="C32" s="4"/>
      <c r="D32" s="19">
        <v>0.0</v>
      </c>
      <c r="E32" s="4"/>
      <c r="F32" s="4"/>
      <c r="G32" s="4"/>
      <c r="H32" s="4"/>
      <c r="I32" s="4"/>
    </row>
    <row r="33" ht="15.0" customHeight="1">
      <c r="A33" s="6" t="s">
        <v>399</v>
      </c>
      <c r="B33" s="4"/>
      <c r="C33" s="4"/>
      <c r="D33" s="19"/>
      <c r="E33" s="4"/>
      <c r="F33" s="4"/>
      <c r="G33" s="4"/>
      <c r="H33" s="4"/>
      <c r="I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</row>
    <row r="35" ht="15.0" customHeight="1">
      <c r="A35" s="5" t="s">
        <v>400</v>
      </c>
      <c r="B35" s="4"/>
      <c r="C35" s="4"/>
      <c r="D35" s="4"/>
      <c r="E35" s="4"/>
      <c r="F35" s="4"/>
      <c r="G35" s="4"/>
      <c r="H35" s="4"/>
      <c r="I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</row>
  </sheetData>
  <mergeCells count="2">
    <mergeCell ref="A1:I1"/>
    <mergeCell ref="A29:I29"/>
  </mergeCells>
  <printOptions/>
  <pageMargins bottom="1.0" footer="0.0" header="0.0" left="0.75" right="0.75" top="1.0"/>
  <pageSetup paperSize="9" orientation="portrait"/>
  <drawing r:id="rId1"/>
</worksheet>
</file>